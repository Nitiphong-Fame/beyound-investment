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พอร์ตหุ้นรายตัว" sheetId="1" state="visible" r:id="rId1"/>
    <sheet xmlns:r="http://schemas.openxmlformats.org/officeDocument/2006/relationships" name="AI Trading" sheetId="2" state="visible" r:id="rId2"/>
    <sheet xmlns:r="http://schemas.openxmlformats.org/officeDocument/2006/relationships" name="ลงทุน" sheetId="3" state="visible" r:id="rId3"/>
    <sheet xmlns:r="http://schemas.openxmlformats.org/officeDocument/2006/relationships" name="กำไรต่อปี" sheetId="4" state="visible" r:id="rId4"/>
    <sheet xmlns:r="http://schemas.openxmlformats.org/officeDocument/2006/relationships" name="รายรับ-รายจ่าย" sheetId="5" state="visible" r:id="rId5"/>
    <sheet xmlns:r="http://schemas.openxmlformats.org/officeDocument/2006/relationships" name="แผนจ่ายต่อรอบ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.0000"/>
    <numFmt numFmtId="165" formatCode="0.0%"/>
    <numFmt numFmtId="166" formatCode="\$#,##0.00"/>
    <numFmt numFmtId="167" formatCode="0.0\x"/>
    <numFmt numFmtId="168" formatCode="\$#,##0.00;&quot;($&quot;#,##0.00\);\-"/>
    <numFmt numFmtId="169" formatCode="\+0.0%;\-0.0%;\-"/>
    <numFmt numFmtId="170" formatCode="#,##0.00;\(#,##0.00\);\-"/>
    <numFmt numFmtId="171" formatCode="#,##0;\(#,##0\);\-"/>
  </numFmts>
  <fonts count="10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i val="1"/>
      <color rgb="FF37474F"/>
      <sz val="9"/>
    </font>
    <font>
      <name val="Arial"/>
      <charset val="1"/>
      <family val="2"/>
      <b val="1"/>
      <color rgb="FF000000"/>
      <sz val="9"/>
    </font>
    <font>
      <name val="Arial"/>
      <charset val="1"/>
      <family val="2"/>
      <b val="1"/>
      <color rgb="FF1A237E"/>
      <sz val="11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FFFFFF"/>
      <sz val="9"/>
    </font>
    <font>
      <name val="DejaVu Sans"/>
      <charset val="1"/>
      <family val="2"/>
      <b val="1"/>
      <color rgb="FFFFFFFF"/>
      <sz val="10"/>
    </font>
    <font>
      <name val="Arial"/>
      <charset val="1"/>
      <family val="2"/>
      <color rgb="FF757575"/>
      <sz val="9"/>
    </font>
    <font>
      <name val="Arial"/>
      <charset val="1"/>
      <family val="2"/>
      <color rgb="FF1A237E"/>
      <sz val="11"/>
    </font>
    <font>
      <name val="Arial"/>
      <charset val="1"/>
      <family val="2"/>
      <color rgb="FF595959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1B5E20"/>
      <sz val="9"/>
    </font>
    <font>
      <name val="Arial"/>
      <charset val="1"/>
      <family val="2"/>
      <b val="1"/>
      <color rgb="FF1A237E"/>
      <sz val="9"/>
    </font>
    <font>
      <name val="Calibri"/>
      <charset val="1"/>
      <family val="2"/>
      <b val="1"/>
      <color rgb="FFFFFFFF"/>
      <sz val="10"/>
    </font>
    <font>
      <name val="DejaVu Sans"/>
      <family val="2"/>
      <b val="1"/>
      <color rgb="FFFFFFFF"/>
      <sz val="10"/>
    </font>
    <font>
      <name val="Arial"/>
      <charset val="1"/>
      <family val="2"/>
      <b val="1"/>
      <color rgb="FF1F4E79"/>
      <sz val="9"/>
    </font>
    <font>
      <name val="Arial"/>
      <charset val="1"/>
      <family val="2"/>
      <color rgb="FFE65100"/>
      <sz val="9"/>
    </font>
    <font>
      <name val="Arial"/>
      <charset val="1"/>
      <family val="2"/>
      <sz val="9"/>
    </font>
    <font>
      <name val="Calibri"/>
      <charset val="1"/>
      <family val="2"/>
      <color rgb="FFBBBBBB"/>
      <sz val="9"/>
    </font>
    <font>
      <name val="Arial"/>
      <charset val="1"/>
      <family val="2"/>
      <color rgb="FFB71C1C"/>
      <sz val="9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1F4E79"/>
      <sz val="11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color rgb="FF1B5E20"/>
      <sz val="11"/>
    </font>
    <font>
      <name val="Arial"/>
      <charset val="1"/>
      <family val="2"/>
      <b val="1"/>
      <color rgb="FF375623"/>
      <sz val="10"/>
    </font>
    <font>
      <name val="Arial"/>
      <charset val="1"/>
      <family val="2"/>
      <color rgb="FF757575"/>
      <sz val="11"/>
    </font>
    <font>
      <name val="Arial"/>
      <charset val="1"/>
      <family val="2"/>
      <b val="1"/>
      <color rgb="FF4A148C"/>
      <sz val="11"/>
    </font>
    <font>
      <name val="Arial"/>
      <charset val="1"/>
      <family val="2"/>
      <i val="1"/>
      <color rgb="FF757575"/>
      <sz val="11"/>
    </font>
    <font>
      <name val="Arial"/>
      <charset val="1"/>
      <family val="2"/>
      <i val="1"/>
      <color rgb="FF4A148C"/>
      <sz val="11"/>
    </font>
    <font>
      <name val="Arial"/>
      <charset val="1"/>
      <family val="2"/>
      <sz val="11"/>
    </font>
    <font>
      <name val="Arial"/>
      <charset val="1"/>
      <family val="2"/>
      <color rgb="FF7B0000"/>
      <sz val="11"/>
    </font>
    <font>
      <name val="Arial"/>
      <charset val="1"/>
      <family val="2"/>
      <color rgb="FF7B3300"/>
      <sz val="11"/>
    </font>
    <font>
      <name val="Arial"/>
      <charset val="1"/>
      <family val="2"/>
      <color rgb="FF0A3D14"/>
      <sz val="11"/>
    </font>
    <font>
      <name val="Arial"/>
      <charset val="1"/>
      <family val="2"/>
      <color rgb="FF0A2A4A"/>
      <sz val="11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0000AA"/>
      <sz val="13"/>
    </font>
    <font>
      <name val="Arial"/>
      <charset val="1"/>
      <family val="2"/>
      <color rgb="FF333333"/>
      <sz val="9"/>
    </font>
    <font>
      <name val="Arial"/>
      <charset val="1"/>
      <family val="2"/>
      <color rgb="FF1A4A3A"/>
      <sz val="9"/>
    </font>
    <font>
      <name val="Arial"/>
      <charset val="1"/>
      <family val="2"/>
      <b val="1"/>
      <color rgb="FF006600"/>
      <sz val="10"/>
    </font>
    <font>
      <name val="Arial"/>
      <charset val="1"/>
      <family val="2"/>
      <color rgb="FFCC0000"/>
      <sz val="9"/>
    </font>
    <font>
      <name val="Arial"/>
      <charset val="1"/>
      <family val="2"/>
      <i val="1"/>
      <color rgb="FF555555"/>
      <sz val="8"/>
    </font>
    <font>
      <name val="Arial"/>
      <charset val="1"/>
      <family val="2"/>
      <b val="1"/>
      <color rgb="FFAA6600"/>
      <sz val="10"/>
    </font>
    <font>
      <name val="Arial"/>
      <charset val="1"/>
      <family val="2"/>
      <i val="1"/>
      <color rgb="FF777777"/>
      <sz val="8"/>
    </font>
    <font>
      <name val="DejaVu Sans"/>
      <family val="2"/>
      <b val="1"/>
      <color rgb="FF000000"/>
      <sz val="1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2"/>
      <b val="1"/>
      <color rgb="FF1A4A3A"/>
      <sz val="11"/>
    </font>
    <font>
      <name val="Arial"/>
      <charset val="1"/>
      <family val="2"/>
      <i val="1"/>
      <color rgb="FFCC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CC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CC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006400"/>
      <sz val="10"/>
    </font>
    <font>
      <name val="Arial"/>
      <charset val="1"/>
      <family val="0"/>
      <color rgb="FF1A4A3A"/>
      <sz val="10"/>
    </font>
    <font>
      <name val="Arial"/>
      <charset val="1"/>
      <family val="0"/>
      <i val="1"/>
      <color rgb="FF0000AA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1A4A3A"/>
      <sz val="9"/>
    </font>
    <font>
      <name val="Arial"/>
      <charset val="1"/>
      <family val="2"/>
      <color rgb="FF333333"/>
      <sz val="10"/>
    </font>
    <font>
      <name val="Arial"/>
      <charset val="1"/>
      <family val="2"/>
      <b val="1"/>
      <color rgb="FF0000FF"/>
      <sz val="11"/>
    </font>
    <font>
      <name val="Arial"/>
      <charset val="1"/>
      <family val="2"/>
      <b val="1"/>
      <color rgb="FFFF0000"/>
      <sz val="11"/>
    </font>
    <font>
      <name val="Arial"/>
      <charset val="1"/>
      <family val="2"/>
      <color rgb="FFCC0000"/>
      <sz val="11"/>
    </font>
    <font>
      <name val="Arial"/>
      <charset val="1"/>
      <family val="2"/>
      <b val="1"/>
      <color rgb="FF006600"/>
      <sz val="11"/>
    </font>
    <font>
      <name val="Arial"/>
      <charset val="1"/>
      <family val="2"/>
      <color rgb="FF006600"/>
      <sz val="11"/>
    </font>
    <font>
      <name val="Arial"/>
      <charset val="1"/>
      <family val="2"/>
      <b val="1"/>
      <color rgb="FFCC0000"/>
      <sz val="11"/>
    </font>
    <font>
      <name val="Arial"/>
      <charset val="1"/>
      <family val="2"/>
      <b val="1"/>
      <color rgb="FFCCFFCC"/>
      <sz val="10"/>
    </font>
    <font>
      <name val="Arial"/>
      <charset val="1"/>
      <family val="2"/>
      <b val="1"/>
      <color rgb="FFAAFFAA"/>
      <sz val="11"/>
    </font>
    <font>
      <name val="Arial"/>
      <charset val="1"/>
      <family val="2"/>
      <b val="1"/>
      <color rgb="FFFFAAAA"/>
      <sz val="11"/>
    </font>
    <font>
      <name val="Arial"/>
      <charset val="1"/>
      <family val="2"/>
      <i val="1"/>
      <color rgb="FFFFFF99"/>
      <sz val="9"/>
    </font>
    <font>
      <name val="Arial"/>
      <charset val="1"/>
      <family val="0"/>
      <b val="1"/>
      <color rgb="FFAAFFAA"/>
      <sz val="10"/>
    </font>
    <font>
      <name val="Arial"/>
      <charset val="1"/>
      <family val="2"/>
      <color rgb="FFBF360C"/>
      <sz val="11"/>
    </font>
    <font>
      <name val="Arial"/>
      <charset val="1"/>
      <family val="2"/>
      <color rgb="FF000000"/>
      <sz val="9"/>
    </font>
    <font>
      <name val="Arial"/>
      <charset val="1"/>
      <family val="2"/>
      <color rgb="FFBF360C"/>
      <sz val="9"/>
    </font>
    <font>
      <name val="Arial"/>
      <charset val="1"/>
      <family val="2"/>
      <i val="1"/>
      <color rgb="FF595959"/>
      <sz val="9"/>
    </font>
    <font>
      <name val="Arial"/>
      <charset val="1"/>
      <family val="2"/>
      <b val="1"/>
      <color rgb="FF00703C"/>
      <sz val="11"/>
    </font>
    <font>
      <name val="Arial"/>
      <charset val="1"/>
      <family val="2"/>
      <color rgb="FFC55A11"/>
      <sz val="11"/>
    </font>
    <font>
      <name val="Arial"/>
      <charset val="1"/>
      <family val="2"/>
      <color rgb="FFAAAAAA"/>
      <sz val="14"/>
    </font>
    <font>
      <name val="Arial"/>
      <charset val="1"/>
      <family val="2"/>
      <b val="1"/>
      <color rgb="FFBF360C"/>
      <sz val="11"/>
    </font>
    <font>
      <name val="Sarabun"/>
      <charset val="222"/>
      <family val="2"/>
      <b val="1"/>
      <color rgb="FFFFFFFF"/>
      <sz val="14"/>
    </font>
    <font>
      <name val="Sarabun"/>
      <charset val="222"/>
      <family val="2"/>
      <b val="1"/>
      <color rgb="FF2E7D32"/>
      <sz val="10"/>
    </font>
    <font>
      <name val="Sarabun"/>
      <charset val="222"/>
      <family val="2"/>
      <b val="1"/>
      <color rgb="FF1B5E20"/>
      <sz val="11"/>
    </font>
    <font>
      <name val="Sarabun"/>
      <charset val="222"/>
      <family val="2"/>
      <b val="1"/>
      <color rgb="FFFFFFFF"/>
      <sz val="11"/>
    </font>
    <font>
      <name val="Sarabun"/>
      <charset val="222"/>
      <family val="2"/>
      <b val="1"/>
      <color rgb="FF000000"/>
      <sz val="11"/>
    </font>
    <font>
      <name val="Sarabun"/>
      <charset val="222"/>
      <family val="2"/>
      <color rgb="FFBF360C"/>
      <sz val="11"/>
    </font>
    <font>
      <name val="Sarabun"/>
      <charset val="222"/>
      <family val="2"/>
      <color rgb="FF000000"/>
      <sz val="11"/>
    </font>
    <font>
      <name val="Sarabun"/>
      <charset val="222"/>
      <family val="2"/>
      <b val="1"/>
      <color rgb="FFFFFFFF"/>
      <sz val="10"/>
    </font>
    <font>
      <name val="Sarabun"/>
      <charset val="222"/>
      <family val="2"/>
      <b val="1"/>
      <color rgb="FFC62828"/>
      <sz val="11"/>
    </font>
    <font>
      <name val="Sarabun"/>
      <charset val="222"/>
      <family val="2"/>
      <b val="1"/>
      <color rgb="FFFFFFFF"/>
      <sz val="12"/>
    </font>
    <font>
      <name val="Arial"/>
      <charset val="1"/>
      <family val="0"/>
      <color rgb="FFBF360C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AAFFAA"/>
      <sz val="11"/>
    </font>
    <font>
      <name val="Arial"/>
      <charset val="1"/>
      <family val="2"/>
      <b val="1"/>
      <color rgb="FFFFFFFF"/>
      <sz val="14"/>
    </font>
    <font>
      <name val="Arial"/>
      <charset val="1"/>
      <family val="2"/>
      <color rgb="FFBF360C"/>
      <sz val="10"/>
    </font>
    <font>
      <name val="Arial"/>
      <charset val="1"/>
      <family val="2"/>
      <b val="1"/>
      <color rgb="FF1B5E20"/>
      <sz val="10"/>
    </font>
    <font>
      <name val="Arial"/>
      <charset val="1"/>
      <family val="2"/>
      <b val="1"/>
      <color rgb="FF2E7D32"/>
      <sz val="13"/>
    </font>
    <font>
      <name val="Arial"/>
      <charset val="1"/>
      <family val="2"/>
      <i val="1"/>
      <color rgb="FF000000"/>
      <sz val="11"/>
    </font>
    <font>
      <name val="Arial"/>
      <charset val="1"/>
      <family val="2"/>
      <b val="1"/>
      <color rgb="FFB0BEC5"/>
      <sz val="13"/>
    </font>
  </fonts>
  <fills count="55">
    <fill>
      <patternFill/>
    </fill>
    <fill>
      <patternFill patternType="gray125"/>
    </fill>
    <fill>
      <patternFill patternType="solid">
        <fgColor rgb="FF0E265D"/>
        <bgColor rgb="FF261989"/>
      </patternFill>
    </fill>
    <fill>
      <patternFill patternType="solid">
        <fgColor rgb="FFFFFFFF"/>
        <bgColor rgb="FFFEFFF9"/>
      </patternFill>
    </fill>
    <fill>
      <patternFill patternType="solid">
        <fgColor rgb="FF1E4F7C"/>
        <bgColor rgb="FF1C4A3C"/>
      </patternFill>
    </fill>
    <fill>
      <patternFill patternType="solid">
        <fgColor rgb="FFE3F2FD"/>
        <bgColor rgb="FFEBF3FC"/>
      </patternFill>
    </fill>
    <fill>
      <patternFill patternType="solid">
        <fgColor rgb="FF1073CF"/>
        <bgColor rgb="FF1E4F7C"/>
      </patternFill>
    </fill>
    <fill>
      <patternFill patternType="solid">
        <fgColor rgb="FF732EA2"/>
        <bgColor rgb="FF261989"/>
      </patternFill>
    </fill>
    <fill>
      <patternFill patternType="solid">
        <fgColor rgb="FFF0FFF2"/>
        <bgColor rgb="FFF1F8E9"/>
      </patternFill>
    </fill>
    <fill>
      <patternFill patternType="solid">
        <fgColor rgb="FFDEEAF4"/>
        <bgColor rgb="FFE8EAF6"/>
      </patternFill>
    </fill>
    <fill>
      <patternFill patternType="solid">
        <fgColor rgb="FFF1F8E9"/>
        <bgColor rgb="FFE8F5E9"/>
      </patternFill>
    </fill>
    <fill>
      <patternFill patternType="solid">
        <fgColor rgb="FFE8F5E9"/>
        <bgColor rgb="FFF1F8E9"/>
      </patternFill>
    </fill>
    <fill>
      <patternFill patternType="solid">
        <fgColor rgb="FFFEF8C8"/>
        <bgColor rgb="FFFEF1CE"/>
      </patternFill>
    </fill>
    <fill>
      <patternFill patternType="solid">
        <fgColor rgb="FFDE5C01"/>
        <bgColor rgb="FFB43505"/>
      </patternFill>
    </fill>
    <fill>
      <patternFill patternType="solid">
        <fgColor rgb="FFEBF3FC"/>
        <bgColor rgb="FFE3F2FD"/>
      </patternFill>
    </fill>
    <fill>
      <patternFill patternType="darkGray">
        <fgColor rgb="FFFFF9F6"/>
        <bgColor rgb="FFFFF5F2"/>
      </patternFill>
    </fill>
    <fill>
      <patternFill patternType="solid">
        <fgColor rgb="FFFFF9F6"/>
        <bgColor rgb="FFFFF5F2"/>
      </patternFill>
    </fill>
    <fill>
      <patternFill patternType="solid">
        <fgColor rgb="FFFFF5F2"/>
        <bgColor rgb="FFFFF9F6"/>
      </patternFill>
    </fill>
    <fill>
      <patternFill patternType="darkGray">
        <fgColor rgb="FFFFEBED"/>
        <bgColor rgb="FFFDE7D7"/>
      </patternFill>
    </fill>
    <fill>
      <patternFill patternType="solid">
        <fgColor rgb="FFFEFFF9"/>
        <bgColor rgb="FFFFFFFF"/>
      </patternFill>
    </fill>
    <fill>
      <patternFill patternType="solid">
        <fgColor rgb="FF305924"/>
        <bgColor rgb="FF1B5E20"/>
      </patternFill>
    </fill>
    <fill>
      <patternFill patternType="solid">
        <fgColor rgb="FF187430"/>
        <bgColor rgb="FF2E7D32"/>
      </patternFill>
    </fill>
    <fill>
      <patternFill patternType="solid">
        <fgColor rgb="FFE8EAF6"/>
        <bgColor rgb="FFEDE7F6"/>
      </patternFill>
    </fill>
    <fill>
      <patternFill patternType="darkGray">
        <fgColor rgb="FFD9EAD3"/>
        <bgColor rgb="FFD3E2D3"/>
      </patternFill>
    </fill>
    <fill>
      <patternFill patternType="solid">
        <fgColor rgb="FF261989"/>
        <bgColor rgb="FF0E265D"/>
      </patternFill>
    </fill>
    <fill>
      <patternFill patternType="mediumGray">
        <fgColor rgb="FF261989"/>
        <bgColor rgb="FF732EA2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E8EAF6"/>
      </patternFill>
    </fill>
    <fill>
      <patternFill patternType="solid">
        <fgColor rgb="FFC21E1E"/>
        <bgColor rgb="FFB43505"/>
      </patternFill>
    </fill>
    <fill>
      <patternFill patternType="darkGray">
        <fgColor rgb="FFFFF4DE"/>
        <bgColor rgb="FFFFF5F2"/>
      </patternFill>
    </fill>
    <fill>
      <patternFill patternType="darkGray">
        <fgColor rgb="FF1073CF"/>
        <bgColor rgb="FF1E4F7C"/>
      </patternFill>
    </fill>
    <fill>
      <patternFill patternType="darkGray">
        <fgColor rgb="FF0F481F"/>
        <bgColor rgb="FF1B3E2F"/>
      </patternFill>
    </fill>
    <fill>
      <patternFill patternType="solid">
        <fgColor rgb="FFF4F4FC"/>
        <bgColor rgb="FFEBF3FC"/>
      </patternFill>
    </fill>
    <fill>
      <patternFill patternType="solid">
        <fgColor rgb="FF0F481F"/>
        <bgColor rgb="FF1C4A3C"/>
      </patternFill>
    </fill>
    <fill>
      <patternFill patternType="solid">
        <fgColor rgb="FF357C3B"/>
        <bgColor rgb="FF357C3D"/>
      </patternFill>
    </fill>
    <fill>
      <patternFill patternType="solid">
        <fgColor rgb="FF357C3D"/>
        <bgColor rgb="FF357C3B"/>
      </patternFill>
    </fill>
    <fill>
      <patternFill patternType="solid">
        <fgColor rgb="FFF0FFF2"/>
        <bgColor rgb="FFF9FBF9"/>
      </patternFill>
    </fill>
    <fill>
      <patternFill patternType="darkGray">
        <fgColor rgb="FF1B3E2F"/>
        <bgColor rgb="FF1C4A3C"/>
      </patternFill>
    </fill>
    <fill>
      <patternFill patternType="solid">
        <fgColor rgb="FF1C4A3C"/>
        <bgColor rgb="FF1B3E2F"/>
      </patternFill>
    </fill>
    <fill>
      <patternFill patternType="darkGray">
        <fgColor rgb="FFF4F4FC"/>
        <bgColor rgb="FFEBF3FC"/>
      </patternFill>
    </fill>
    <fill>
      <patternFill patternType="solid">
        <fgColor rgb="FFD3E2D3"/>
        <bgColor rgb="FFD9EAD3"/>
      </patternFill>
    </fill>
    <fill>
      <patternFill patternType="solid">
        <fgColor rgb="FFB2EBF2"/>
        <bgColor rgb="FFD3E2D3"/>
      </patternFill>
    </fill>
    <fill>
      <patternFill patternType="solid">
        <fgColor rgb="FFFEF1CE"/>
        <bgColor rgb="FFFEF8C8"/>
      </patternFill>
    </fill>
    <fill>
      <patternFill patternType="solid">
        <fgColor rgb="FFFECBD0"/>
        <bgColor rgb="FFFFC0AF"/>
      </patternFill>
    </fill>
    <fill>
      <patternFill patternType="solid">
        <fgColor rgb="FFD9EAD3"/>
        <bgColor rgb="FFE2EFDA"/>
      </patternFill>
    </fill>
    <fill>
      <patternFill patternType="solid">
        <fgColor rgb="FFE8D5F5"/>
        <bgColor rgb="FFF3E5F5"/>
      </patternFill>
    </fill>
    <fill>
      <patternFill patternType="solid">
        <fgColor rgb="FFE2EFDA"/>
        <bgColor rgb="FFD9EAD3"/>
      </patternFill>
    </fill>
    <fill>
      <patternFill patternType="solid">
        <fgColor rgb="FF175E1A"/>
        <bgColor rgb="FF1B5E20"/>
      </patternFill>
    </fill>
    <fill>
      <patternFill patternType="solid">
        <fgColor rgb="FFF9FBF9"/>
        <bgColor rgb="FFFFF9F6"/>
      </patternFill>
    </fill>
    <fill>
      <patternFill patternType="darkGray">
        <fgColor rgb="FFFFF4DE"/>
        <bgColor rgb="FFFEF1CE"/>
      </patternFill>
    </fill>
    <fill>
      <patternFill patternType="solid">
        <fgColor rgb="FF00703C"/>
        <bgColor rgb="FF187430"/>
      </patternFill>
    </fill>
    <fill>
      <patternFill patternType="solid">
        <fgColor rgb="FFC10000"/>
        <bgColor rgb="FFC21E1E"/>
      </patternFill>
    </fill>
    <fill>
      <patternFill patternType="solid">
        <fgColor rgb="FFFDE7D7"/>
        <bgColor rgb="FFFFEBED"/>
      </patternFill>
    </fill>
    <fill>
      <patternFill patternType="solid">
        <fgColor rgb="FFB43505"/>
        <bgColor rgb="FFC21E1E"/>
      </patternFill>
    </fill>
    <fill>
      <patternFill patternType="darkGray">
        <fgColor rgb="FFFDE7D7"/>
        <bgColor rgb="FFFFEBED"/>
      </patternFill>
    </fill>
  </fills>
  <borders count="2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3E2D3"/>
      </left>
      <right style="thin">
        <color rgb="FFD3E2D3"/>
      </right>
      <top style="thin">
        <color rgb="FFD3E2D3"/>
      </top>
      <bottom style="thin">
        <color rgb="FFD3E2D3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rgb="FFA2AAA1"/>
      </left>
      <right/>
      <top style="thin">
        <color rgb="FFA2AAA1"/>
      </top>
      <bottom style="thin">
        <color rgb="FFA2AAA1"/>
      </bottom>
      <diagonal/>
    </border>
    <border>
      <left style="thin">
        <color rgb="FFA2AAA1"/>
      </left>
      <right style="thin">
        <color rgb="FFA2AAA1"/>
      </right>
      <top style="thin">
        <color rgb="FFA2AAA1"/>
      </top>
      <bottom style="thin">
        <color rgb="FFA2AAA1"/>
      </bottom>
      <diagonal/>
    </border>
    <border>
      <left style="thin">
        <color rgb="FF357C3B"/>
      </left>
      <right style="thin">
        <color rgb="FF357C3B"/>
      </right>
      <top style="thin">
        <color rgb="FF357C3B"/>
      </top>
      <bottom style="thin">
        <color rgb="FF357C3B"/>
      </bottom>
      <diagonal/>
    </border>
    <border>
      <left style="thin">
        <color rgb="FF357C3D"/>
      </left>
      <right style="thin">
        <color rgb="FF357C3D"/>
      </right>
      <top style="thin">
        <color rgb="FF357C3D"/>
      </top>
      <bottom style="thin">
        <color rgb="FF357C3D"/>
      </bottom>
      <diagonal/>
    </border>
    <border>
      <left style="thin">
        <color rgb="FF5D7060"/>
      </left>
      <right style="thin">
        <color rgb="FF5D7060"/>
      </right>
      <top style="thin">
        <color rgb="FF5D7060"/>
      </top>
      <bottom style="thin">
        <color rgb="FF5D7060"/>
      </bottom>
      <diagonal/>
    </border>
    <border>
      <left style="medium">
        <color rgb="FF357C3D"/>
      </left>
      <right style="medium">
        <color rgb="FF357C3D"/>
      </right>
      <top style="medium">
        <color rgb="FF357C3D"/>
      </top>
      <bottom style="medium">
        <color rgb="FF357C3D"/>
      </bottom>
      <diagonal/>
    </border>
    <border>
      <left style="thin">
        <color rgb="FFB4BEC5"/>
      </left>
      <right style="thin">
        <color rgb="FFB4BEC5"/>
      </right>
      <top style="thin">
        <color rgb="FFB4BEC5"/>
      </top>
      <bottom style="thin">
        <color rgb="FFB4BEC5"/>
      </bottom>
      <diagonal/>
    </border>
    <border>
      <left style="thin"/>
      <right style="thin">
        <color rgb="FFB4BEC5"/>
      </right>
      <top style="thin"/>
      <bottom style="thin">
        <color rgb="FFB4BEC5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2E7D32"/>
      </left>
      <right style="thin">
        <color rgb="FF2E7D32"/>
      </right>
      <top style="medium">
        <color rgb="FF006600"/>
      </top>
      <bottom style="medium">
        <color rgb="FF006600"/>
      </bottom>
      <diagonal/>
    </border>
    <border>
      <left style="thin">
        <color rgb="FF9EBBED"/>
      </left>
      <right style="thin">
        <color rgb="FF9EBBED"/>
      </right>
      <top style="thin">
        <color rgb="FF9EBBED"/>
      </top>
      <bottom style="thin">
        <color rgb="FF9EBBED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>
        <color rgb="FFA2AAA1"/>
      </top>
      <bottom/>
      <diagonal/>
    </border>
    <border>
      <left/>
      <right/>
      <top style="thin">
        <color rgb="FFA2AAA1"/>
      </top>
      <bottom style="thin">
        <color rgb="FFA2AAA1"/>
      </bottom>
      <diagonal/>
    </border>
    <border>
      <left/>
      <right style="thin">
        <color rgb="FFB4BEC5"/>
      </right>
      <top style="thin"/>
      <bottom/>
      <diagonal/>
    </border>
    <border>
      <left/>
      <right/>
      <top style="thin"/>
      <bottom style="thin">
        <color rgb="FFB4BEC5"/>
      </bottom>
      <diagonal/>
    </border>
    <border>
      <left/>
      <right style="thin">
        <color rgb="FFB4BEC5"/>
      </right>
      <top style="thin"/>
      <bottom style="thin">
        <color rgb="FFB4BEC5"/>
      </bottom>
      <diagonal/>
    </border>
    <border>
      <left/>
      <right style="thin">
        <color rgb="FFA2AAA1"/>
      </right>
      <top style="thin">
        <color rgb="FFA2AAA1"/>
      </top>
      <bottom/>
      <diagonal/>
    </border>
    <border>
      <left/>
      <right style="thin">
        <color rgb="FFA2AAA1"/>
      </right>
      <top style="thin">
        <color rgb="FFA2AAA1"/>
      </top>
      <bottom style="thin">
        <color rgb="FFA2AAA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 indent="1"/>
    </xf>
    <xf numFmtId="4" fontId="15" fillId="9" borderId="1" applyAlignment="1" pivotButton="0" quotePrefix="0" xfId="0">
      <alignment horizontal="center" vertical="center" indent="1"/>
    </xf>
    <xf numFmtId="165" fontId="16" fillId="8" borderId="1" applyAlignment="1" pivotButton="0" quotePrefix="0" xfId="0">
      <alignment horizontal="center" vertical="center" indent="1"/>
    </xf>
    <xf numFmtId="4" fontId="14" fillId="10" borderId="1" applyAlignment="1" pivotButton="0" quotePrefix="0" xfId="0">
      <alignment horizontal="center" vertical="center" indent="1"/>
    </xf>
    <xf numFmtId="4" fontId="10" fillId="10" borderId="1" applyAlignment="1" pivotButton="0" quotePrefix="0" xfId="0">
      <alignment horizontal="center" vertical="center" indent="1"/>
    </xf>
    <xf numFmtId="0" fontId="17" fillId="11" borderId="1" applyAlignment="1" pivotButton="0" quotePrefix="0" xfId="0">
      <alignment horizontal="left" vertical="top" wrapText="1"/>
    </xf>
    <xf numFmtId="4" fontId="18" fillId="12" borderId="1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165" fontId="21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 indent="1"/>
    </xf>
    <xf numFmtId="165" fontId="16" fillId="15" borderId="1" applyAlignment="1" pivotButton="0" quotePrefix="0" xfId="0">
      <alignment horizontal="center" vertical="center" indent="1"/>
    </xf>
    <xf numFmtId="0" fontId="22" fillId="16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center" vertical="center"/>
    </xf>
    <xf numFmtId="165" fontId="21" fillId="3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164" fontId="14" fillId="17" borderId="1" applyAlignment="1" pivotButton="0" quotePrefix="0" xfId="0">
      <alignment horizontal="center" vertical="center" indent="1"/>
    </xf>
    <xf numFmtId="165" fontId="16" fillId="17" borderId="1" applyAlignment="1" pivotButton="0" quotePrefix="0" xfId="0">
      <alignment horizontal="center" vertical="center" indent="1"/>
    </xf>
    <xf numFmtId="0" fontId="23" fillId="18" borderId="1" applyAlignment="1" pivotButton="0" quotePrefix="0" xfId="0">
      <alignment horizontal="general" vertical="top" wrapText="1"/>
    </xf>
    <xf numFmtId="0" fontId="19" fillId="12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164" fontId="14" fillId="19" borderId="1" applyAlignment="1" pivotButton="0" quotePrefix="0" xfId="0">
      <alignment horizontal="center" vertical="center" indent="1"/>
    </xf>
    <xf numFmtId="165" fontId="16" fillId="19" borderId="1" applyAlignment="1" pivotButton="0" quotePrefix="0" xfId="0">
      <alignment horizontal="center" vertical="center" indent="1"/>
    </xf>
    <xf numFmtId="0" fontId="25" fillId="18" borderId="1" applyAlignment="1" pivotButton="0" quotePrefix="0" xfId="0">
      <alignment horizontal="left" vertical="top" wrapText="1"/>
    </xf>
    <xf numFmtId="4" fontId="26" fillId="12" borderId="1" applyAlignment="1" pivotButton="0" quotePrefix="0" xfId="0">
      <alignment horizontal="center" vertical="center" indent="1"/>
    </xf>
    <xf numFmtId="0" fontId="27" fillId="14" borderId="1" applyAlignment="1" pivotButton="0" quotePrefix="0" xfId="0">
      <alignment horizontal="center" vertical="center"/>
    </xf>
    <xf numFmtId="165" fontId="27" fillId="1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28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164" fontId="10" fillId="22" borderId="1" applyAlignment="1" pivotButton="0" quotePrefix="0" xfId="0">
      <alignment horizontal="center" vertical="center"/>
    </xf>
    <xf numFmtId="4" fontId="29" fillId="22" borderId="1" applyAlignment="1" pivotButton="0" quotePrefix="0" xfId="0">
      <alignment horizontal="center" vertical="center"/>
    </xf>
    <xf numFmtId="165" fontId="30" fillId="11" borderId="1" applyAlignment="1" pivotButton="0" quotePrefix="0" xfId="0">
      <alignment horizontal="center" vertical="center"/>
    </xf>
    <xf numFmtId="4" fontId="31" fillId="23" borderId="1" applyAlignment="1" pivotButton="0" quotePrefix="0" xfId="0">
      <alignment horizontal="center" vertical="center"/>
    </xf>
    <xf numFmtId="0" fontId="31" fillId="23" borderId="1" applyAlignment="1" pivotButton="0" quotePrefix="0" xfId="0">
      <alignment horizontal="center" vertical="center"/>
    </xf>
    <xf numFmtId="0" fontId="6" fillId="24" borderId="3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left" vertical="center" wrapText="1"/>
    </xf>
    <xf numFmtId="4" fontId="30" fillId="26" borderId="1" applyAlignment="1" pivotButton="0" quotePrefix="0" xfId="0">
      <alignment horizontal="center" vertical="center"/>
    </xf>
    <xf numFmtId="0" fontId="32" fillId="26" borderId="3" applyAlignment="1" pivotButton="0" quotePrefix="0" xfId="0">
      <alignment horizontal="left" vertical="center"/>
    </xf>
    <xf numFmtId="0" fontId="29" fillId="27" borderId="1" applyAlignment="1" pivotButton="0" quotePrefix="0" xfId="0">
      <alignment horizontal="left" vertical="center" wrapText="1"/>
    </xf>
    <xf numFmtId="0" fontId="32" fillId="27" borderId="1" applyAlignment="1" pivotButton="0" quotePrefix="0" xfId="0">
      <alignment horizontal="center" vertical="center"/>
    </xf>
    <xf numFmtId="4" fontId="33" fillId="27" borderId="1" applyAlignment="1" pivotButton="0" quotePrefix="0" xfId="0">
      <alignment horizontal="center" vertical="center"/>
    </xf>
    <xf numFmtId="0" fontId="32" fillId="27" borderId="3" applyAlignment="1" pivotButton="0" quotePrefix="0" xfId="0">
      <alignment horizontal="left" vertical="center"/>
    </xf>
    <xf numFmtId="0" fontId="32" fillId="26" borderId="1" applyAlignment="1" pivotButton="0" quotePrefix="0" xfId="0">
      <alignment horizontal="center" vertical="center"/>
    </xf>
    <xf numFmtId="4" fontId="29" fillId="26" borderId="1" applyAlignment="1" pivotButton="0" quotePrefix="0" xfId="0">
      <alignment horizontal="center" vertical="center"/>
    </xf>
    <xf numFmtId="0" fontId="34" fillId="26" borderId="3" applyAlignment="1" pivotButton="0" quotePrefix="0" xfId="0">
      <alignment horizontal="left" vertical="center"/>
    </xf>
    <xf numFmtId="0" fontId="35" fillId="27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general" vertical="bottom"/>
    </xf>
    <xf numFmtId="0" fontId="6" fillId="28" borderId="0" applyAlignment="1" pivotButton="0" quotePrefix="0" xfId="0">
      <alignment horizontal="left" vertical="center" wrapText="1"/>
    </xf>
    <xf numFmtId="0" fontId="37" fillId="17" borderId="0" applyAlignment="1" pivotButton="0" quotePrefix="0" xfId="0">
      <alignment horizontal="left" vertical="top" wrapText="1"/>
    </xf>
    <xf numFmtId="0" fontId="6" fillId="13" borderId="0" applyAlignment="1" pivotButton="0" quotePrefix="0" xfId="0">
      <alignment horizontal="left" vertical="center" wrapText="1"/>
    </xf>
    <xf numFmtId="0" fontId="38" fillId="29" borderId="0" applyAlignment="1" pivotButton="0" quotePrefix="0" xfId="0">
      <alignment horizontal="left" vertical="top" wrapText="1"/>
    </xf>
    <xf numFmtId="0" fontId="6" fillId="21" borderId="0" applyAlignment="1" pivotButton="0" quotePrefix="0" xfId="0">
      <alignment horizontal="left" vertical="center" wrapText="1"/>
    </xf>
    <xf numFmtId="0" fontId="39" fillId="8" borderId="0" applyAlignment="1" pivotButton="0" quotePrefix="0" xfId="0">
      <alignment horizontal="left" vertical="top" wrapText="1"/>
    </xf>
    <xf numFmtId="0" fontId="6" fillId="30" borderId="0" applyAlignment="1" pivotButton="0" quotePrefix="0" xfId="0">
      <alignment horizontal="left" vertical="center" wrapText="1"/>
    </xf>
    <xf numFmtId="0" fontId="40" fillId="14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general" vertical="bottom"/>
    </xf>
    <xf numFmtId="0" fontId="6" fillId="31" borderId="0" applyAlignment="1" pivotButton="0" quotePrefix="0" xfId="0">
      <alignment horizontal="left" vertical="center" wrapText="1"/>
    </xf>
    <xf numFmtId="0" fontId="41" fillId="2" borderId="5" applyAlignment="1" pivotButton="0" quotePrefix="0" xfId="0">
      <alignment horizontal="left" vertical="center" wrapText="1"/>
    </xf>
    <xf numFmtId="0" fontId="42" fillId="6" borderId="6" applyAlignment="1" pivotButton="0" quotePrefix="0" xfId="0">
      <alignment horizontal="center" vertical="center" wrapText="1"/>
    </xf>
    <xf numFmtId="0" fontId="42" fillId="6" borderId="5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43" fillId="5" borderId="6" applyAlignment="1" pivotButton="0" quotePrefix="0" xfId="0">
      <alignment horizontal="center" vertical="center" wrapText="1"/>
    </xf>
    <xf numFmtId="0" fontId="44" fillId="5" borderId="5" applyAlignment="1" pivotButton="0" quotePrefix="0" xfId="0">
      <alignment horizontal="left" vertical="top" wrapText="1"/>
    </xf>
    <xf numFmtId="0" fontId="45" fillId="5" borderId="5" applyAlignment="1" pivotButton="0" quotePrefix="0" xfId="0">
      <alignment horizontal="left" vertical="top" wrapText="1"/>
    </xf>
    <xf numFmtId="0" fontId="46" fillId="5" borderId="5" applyAlignment="1" pivotButton="0" quotePrefix="0" xfId="0">
      <alignment horizontal="center" vertical="center" wrapText="1"/>
    </xf>
    <xf numFmtId="0" fontId="47" fillId="5" borderId="5" applyAlignment="1" pivotButton="0" quotePrefix="0" xfId="0">
      <alignment horizontal="left" vertical="top" wrapText="1"/>
    </xf>
    <xf numFmtId="0" fontId="48" fillId="5" borderId="5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43" fillId="12" borderId="6" applyAlignment="1" pivotButton="0" quotePrefix="0" xfId="0">
      <alignment horizontal="center" vertical="center" wrapText="1"/>
    </xf>
    <xf numFmtId="0" fontId="44" fillId="12" borderId="5" applyAlignment="1" pivotButton="0" quotePrefix="0" xfId="0">
      <alignment horizontal="left" vertical="top" wrapText="1"/>
    </xf>
    <xf numFmtId="0" fontId="45" fillId="12" borderId="5" applyAlignment="1" pivotButton="0" quotePrefix="0" xfId="0">
      <alignment horizontal="left" vertical="top" wrapText="1"/>
    </xf>
    <xf numFmtId="0" fontId="49" fillId="12" borderId="5" applyAlignment="1" pivotButton="0" quotePrefix="0" xfId="0">
      <alignment horizontal="center" vertical="center" wrapText="1"/>
    </xf>
    <xf numFmtId="0" fontId="47" fillId="12" borderId="5" applyAlignment="1" pivotButton="0" quotePrefix="0" xfId="0">
      <alignment horizontal="left" vertical="top" wrapText="1"/>
    </xf>
    <xf numFmtId="0" fontId="48" fillId="12" borderId="5" applyAlignment="1" pivotButton="0" quotePrefix="0" xfId="0">
      <alignment horizontal="center" vertical="center" wrapText="1"/>
    </xf>
    <xf numFmtId="0" fontId="50" fillId="32" borderId="5" applyAlignment="1" pivotButton="0" quotePrefix="0" xfId="0">
      <alignment horizontal="left" vertical="center" wrapText="1"/>
    </xf>
    <xf numFmtId="0" fontId="41" fillId="33" borderId="5" applyAlignment="1" pivotButton="0" quotePrefix="0" xfId="0">
      <alignment horizontal="left" vertical="center" wrapText="1"/>
    </xf>
    <xf numFmtId="0" fontId="42" fillId="34" borderId="5" applyAlignment="1" pivotButton="0" quotePrefix="0" xfId="0">
      <alignment horizontal="center" vertical="center" wrapText="1"/>
    </xf>
    <xf numFmtId="166" fontId="54" fillId="10" borderId="6" applyAlignment="1" pivotButton="0" quotePrefix="0" xfId="0">
      <alignment horizontal="center" vertical="center" wrapText="1"/>
    </xf>
    <xf numFmtId="166" fontId="54" fillId="10" borderId="5" applyAlignment="1" pivotButton="0" quotePrefix="0" xfId="0">
      <alignment horizontal="center" vertical="center" wrapText="1"/>
    </xf>
    <xf numFmtId="0" fontId="55" fillId="12" borderId="6" applyAlignment="1" pivotButton="0" quotePrefix="0" xfId="0">
      <alignment horizontal="left" vertical="center" wrapText="1"/>
    </xf>
    <xf numFmtId="0" fontId="42" fillId="34" borderId="6" applyAlignment="1" pivotButton="0" quotePrefix="0" xfId="0">
      <alignment horizontal="center" vertical="center" wrapText="1"/>
    </xf>
    <xf numFmtId="0" fontId="56" fillId="34" borderId="7" applyAlignment="1" pivotButton="0" quotePrefix="0" xfId="0">
      <alignment horizontal="center" vertical="center" wrapText="1"/>
    </xf>
    <xf numFmtId="0" fontId="56" fillId="35" borderId="8" applyAlignment="1" pivotButton="0" quotePrefix="0" xfId="0">
      <alignment horizontal="center" vertical="center" wrapText="1"/>
    </xf>
    <xf numFmtId="0" fontId="0" fillId="35" borderId="8" applyAlignment="1" pivotButton="0" quotePrefix="0" xfId="0">
      <alignment horizontal="general" vertical="bottom"/>
    </xf>
    <xf numFmtId="0" fontId="56" fillId="34" borderId="9" applyAlignment="1" pivotButton="0" quotePrefix="0" xfId="0">
      <alignment horizontal="center" vertical="center" wrapText="1"/>
    </xf>
    <xf numFmtId="0" fontId="57" fillId="10" borderId="9" applyAlignment="1" pivotButton="0" quotePrefix="0" xfId="0">
      <alignment horizontal="center" vertical="center" wrapText="1"/>
    </xf>
    <xf numFmtId="0" fontId="58" fillId="10" borderId="9" applyAlignment="1" pivotButton="0" quotePrefix="0" xfId="0">
      <alignment horizontal="center" vertical="center" wrapText="1"/>
    </xf>
    <xf numFmtId="167" fontId="59" fillId="10" borderId="9" applyAlignment="1" pivotButton="0" quotePrefix="0" xfId="0">
      <alignment horizontal="center" vertical="center" wrapText="1"/>
    </xf>
    <xf numFmtId="166" fontId="59" fillId="10" borderId="9" applyAlignment="1" pivotButton="0" quotePrefix="0" xfId="0">
      <alignment horizontal="center" vertical="center" wrapText="1"/>
    </xf>
    <xf numFmtId="2" fontId="58" fillId="10" borderId="9" applyAlignment="1" pivotButton="0" quotePrefix="0" xfId="0">
      <alignment horizontal="center" vertical="center" wrapText="1"/>
    </xf>
    <xf numFmtId="166" fontId="58" fillId="10" borderId="9" applyAlignment="1" pivotButton="0" quotePrefix="0" xfId="0">
      <alignment horizontal="center" vertical="center" wrapText="1"/>
    </xf>
    <xf numFmtId="165" fontId="60" fillId="10" borderId="9" applyAlignment="1" pivotButton="0" quotePrefix="0" xfId="0">
      <alignment horizontal="center" vertical="center" wrapText="1"/>
    </xf>
    <xf numFmtId="165" fontId="61" fillId="10" borderId="9" applyAlignment="1" pivotButton="0" quotePrefix="0" xfId="0">
      <alignment horizontal="center" vertical="center" wrapText="1"/>
    </xf>
    <xf numFmtId="167" fontId="58" fillId="10" borderId="9" applyAlignment="1" pivotButton="0" quotePrefix="0" xfId="0">
      <alignment horizontal="center" vertical="center" wrapText="1"/>
    </xf>
    <xf numFmtId="166" fontId="61" fillId="10" borderId="9" applyAlignment="1" pivotButton="0" quotePrefix="0" xfId="0">
      <alignment horizontal="center" vertical="center" wrapText="1"/>
    </xf>
    <xf numFmtId="166" fontId="60" fillId="10" borderId="9" applyAlignment="1" pivotButton="0" quotePrefix="0" xfId="0">
      <alignment horizontal="center" vertical="center" wrapText="1"/>
    </xf>
    <xf numFmtId="0" fontId="62" fillId="8" borderId="9" applyAlignment="1" pivotButton="0" quotePrefix="0" xfId="0">
      <alignment horizontal="left" vertical="top" wrapText="1"/>
    </xf>
    <xf numFmtId="166" fontId="63" fillId="19" borderId="7" applyAlignment="1" pivotButton="0" quotePrefix="0" xfId="0">
      <alignment horizontal="center" vertical="center"/>
    </xf>
    <xf numFmtId="168" fontId="64" fillId="10" borderId="8" applyAlignment="1" pivotButton="0" quotePrefix="0" xfId="0">
      <alignment horizontal="center" vertical="center"/>
    </xf>
    <xf numFmtId="169" fontId="64" fillId="10" borderId="8" applyAlignment="1" pivotButton="0" quotePrefix="0" xfId="0">
      <alignment horizontal="center" vertical="center"/>
    </xf>
    <xf numFmtId="0" fontId="64" fillId="19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general" vertical="bottom"/>
    </xf>
    <xf numFmtId="0" fontId="65" fillId="36" borderId="10" applyAlignment="1" pivotButton="0" quotePrefix="0" xfId="0">
      <alignment horizontal="left" vertical="top" wrapText="1"/>
    </xf>
    <xf numFmtId="0" fontId="54" fillId="11" borderId="6" applyAlignment="1" pivotButton="0" quotePrefix="0" xfId="0">
      <alignment horizontal="center" vertical="center" wrapText="1"/>
    </xf>
    <xf numFmtId="0" fontId="43" fillId="11" borderId="6" applyAlignment="1" pivotButton="0" quotePrefix="0" xfId="0">
      <alignment horizontal="center" vertical="center" wrapText="1"/>
    </xf>
    <xf numFmtId="0" fontId="66" fillId="11" borderId="6" applyAlignment="1" pivotButton="0" quotePrefix="0" xfId="0">
      <alignment horizontal="center" vertical="center" wrapText="1"/>
    </xf>
    <xf numFmtId="0" fontId="67" fillId="11" borderId="6" applyAlignment="1" pivotButton="0" quotePrefix="0" xfId="0">
      <alignment horizontal="center" vertical="center"/>
    </xf>
    <xf numFmtId="166" fontId="67" fillId="11" borderId="6" applyAlignment="1" pivotButton="0" quotePrefix="0" xfId="0">
      <alignment horizontal="center" vertical="center"/>
    </xf>
    <xf numFmtId="3" fontId="67" fillId="11" borderId="6" applyAlignment="1" pivotButton="0" quotePrefix="0" xfId="0">
      <alignment horizontal="center" vertical="center"/>
    </xf>
    <xf numFmtId="166" fontId="29" fillId="11" borderId="6" applyAlignment="1" pivotButton="0" quotePrefix="0" xfId="0">
      <alignment horizontal="center" vertical="center" wrapText="1"/>
    </xf>
    <xf numFmtId="166" fontId="68" fillId="11" borderId="6" applyAlignment="1" pivotButton="0" quotePrefix="0" xfId="0">
      <alignment horizontal="center" vertical="center"/>
    </xf>
    <xf numFmtId="165" fontId="69" fillId="11" borderId="6" applyAlignment="1" pivotButton="0" quotePrefix="0" xfId="0">
      <alignment horizontal="center" vertical="center" wrapText="1"/>
    </xf>
    <xf numFmtId="166" fontId="70" fillId="11" borderId="6" applyAlignment="1" pivotButton="0" quotePrefix="0" xfId="0">
      <alignment horizontal="center" vertical="center"/>
    </xf>
    <xf numFmtId="165" fontId="71" fillId="11" borderId="6" applyAlignment="1" pivotButton="0" quotePrefix="0" xfId="0">
      <alignment horizontal="center" vertical="center" wrapText="1"/>
    </xf>
    <xf numFmtId="167" fontId="29" fillId="11" borderId="6" applyAlignment="1" pivotButton="0" quotePrefix="0" xfId="0">
      <alignment horizontal="center" vertical="center" wrapText="1"/>
    </xf>
    <xf numFmtId="166" fontId="70" fillId="11" borderId="6" applyAlignment="1" pivotButton="0" quotePrefix="0" xfId="0">
      <alignment horizontal="center" vertical="center" wrapText="1"/>
    </xf>
    <xf numFmtId="166" fontId="72" fillId="11" borderId="6" applyAlignment="1" pivotButton="0" quotePrefix="0" xfId="0">
      <alignment horizontal="center" vertical="center" wrapText="1"/>
    </xf>
    <xf numFmtId="0" fontId="44" fillId="11" borderId="6" applyAlignment="1" pivotButton="0" quotePrefix="0" xfId="0">
      <alignment horizontal="left" vertical="top" wrapText="1"/>
    </xf>
    <xf numFmtId="0" fontId="6" fillId="33" borderId="5" applyAlignment="1" pivotButton="0" quotePrefix="0" xfId="0">
      <alignment horizontal="left" vertical="center" wrapText="1"/>
    </xf>
    <xf numFmtId="166" fontId="6" fillId="33" borderId="6" applyAlignment="1" pivotButton="0" quotePrefix="0" xfId="0">
      <alignment horizontal="center" vertical="center" wrapText="1"/>
    </xf>
    <xf numFmtId="0" fontId="73" fillId="33" borderId="5" applyAlignment="1" pivotButton="0" quotePrefix="0" xfId="0">
      <alignment horizontal="center" vertical="center" wrapText="1"/>
    </xf>
    <xf numFmtId="167" fontId="74" fillId="33" borderId="6" applyAlignment="1" pivotButton="0" quotePrefix="0" xfId="0">
      <alignment horizontal="center" vertical="center" wrapText="1"/>
    </xf>
    <xf numFmtId="166" fontId="74" fillId="33" borderId="6" applyAlignment="1" pivotButton="0" quotePrefix="0" xfId="0">
      <alignment horizontal="center" vertical="center" wrapText="1"/>
    </xf>
    <xf numFmtId="166" fontId="75" fillId="33" borderId="6" applyAlignment="1" pivotButton="0" quotePrefix="0" xfId="0">
      <alignment horizontal="center" vertical="center" wrapText="1"/>
    </xf>
    <xf numFmtId="0" fontId="76" fillId="33" borderId="6" applyAlignment="1" pivotButton="0" quotePrefix="0" xfId="0">
      <alignment horizontal="left" vertical="center" wrapText="1"/>
    </xf>
    <xf numFmtId="166" fontId="77" fillId="31" borderId="7" applyAlignment="1" pivotButton="0" quotePrefix="0" xfId="0">
      <alignment horizontal="center" vertical="center"/>
    </xf>
    <xf numFmtId="168" fontId="77" fillId="37" borderId="8" applyAlignment="1" pivotButton="0" quotePrefix="0" xfId="0">
      <alignment horizontal="center" vertical="center"/>
    </xf>
    <xf numFmtId="169" fontId="77" fillId="37" borderId="8" applyAlignment="1" pivotButton="0" quotePrefix="0" xfId="0">
      <alignment horizontal="center" vertical="center"/>
    </xf>
    <xf numFmtId="0" fontId="56" fillId="37" borderId="8" applyAlignment="1" pivotButton="0" quotePrefix="0" xfId="0">
      <alignment horizontal="center" vertical="center"/>
    </xf>
    <xf numFmtId="0" fontId="0" fillId="37" borderId="8" applyAlignment="1" pivotButton="0" quotePrefix="0" xfId="0">
      <alignment horizontal="general" vertical="bottom"/>
    </xf>
    <xf numFmtId="0" fontId="0" fillId="38" borderId="8" applyAlignment="1" pivotButton="0" quotePrefix="0" xfId="0">
      <alignment horizontal="general" vertical="bottom"/>
    </xf>
    <xf numFmtId="0" fontId="4" fillId="4" borderId="1" applyAlignment="1" pivotButton="0" quotePrefix="0" xfId="0">
      <alignment horizontal="left" vertical="center" wrapText="1"/>
    </xf>
    <xf numFmtId="0" fontId="6" fillId="3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4" fontId="78" fillId="9" borderId="1" applyAlignment="1" pivotButton="0" quotePrefix="0" xfId="0">
      <alignment horizontal="center" vertical="center" wrapText="1"/>
    </xf>
    <xf numFmtId="170" fontId="78" fillId="9" borderId="1" applyAlignment="1" pivotButton="0" quotePrefix="0" xfId="0">
      <alignment horizontal="center" vertical="center" wrapText="1"/>
    </xf>
    <xf numFmtId="0" fontId="79" fillId="39" borderId="1" applyAlignment="1" pivotButton="0" quotePrefix="0" xfId="0">
      <alignment horizontal="left" vertical="center" wrapText="1"/>
    </xf>
    <xf numFmtId="170" fontId="80" fillId="39" borderId="1" applyAlignment="1" pivotButton="0" quotePrefix="0" xfId="0">
      <alignment horizontal="center" vertical="center" wrapText="1"/>
    </xf>
    <xf numFmtId="170" fontId="79" fillId="39" borderId="1" applyAlignment="1" pivotButton="0" quotePrefix="0" xfId="0">
      <alignment horizontal="center" vertical="center" wrapText="1"/>
    </xf>
    <xf numFmtId="0" fontId="29" fillId="40" borderId="1" applyAlignment="1" pivotButton="0" quotePrefix="0" xfId="0">
      <alignment horizontal="left" vertical="center" wrapText="1"/>
    </xf>
    <xf numFmtId="0" fontId="10" fillId="40" borderId="1" applyAlignment="1" pivotButton="0" quotePrefix="0" xfId="0">
      <alignment horizontal="center" vertical="center" wrapText="1"/>
    </xf>
    <xf numFmtId="170" fontId="29" fillId="40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left" vertical="center" wrapText="1"/>
    </xf>
    <xf numFmtId="0" fontId="81" fillId="12" borderId="1" applyAlignment="1" pivotButton="0" quotePrefix="0" xfId="0">
      <alignment horizontal="left" vertical="center" wrapText="1"/>
    </xf>
    <xf numFmtId="170" fontId="10" fillId="12" borderId="1" applyAlignment="1" pivotButton="0" quotePrefix="0" xfId="0">
      <alignment horizontal="center" vertical="center" wrapText="1"/>
    </xf>
    <xf numFmtId="165" fontId="10" fillId="12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81" fillId="9" borderId="1" applyAlignment="1" pivotButton="0" quotePrefix="0" xfId="0">
      <alignment horizontal="left" vertical="center" wrapText="1"/>
    </xf>
    <xf numFmtId="170" fontId="10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left" vertical="center" wrapText="1"/>
    </xf>
    <xf numFmtId="0" fontId="81" fillId="11" borderId="1" applyAlignment="1" pivotButton="0" quotePrefix="0" xfId="0">
      <alignment horizontal="left" vertical="center" wrapText="1"/>
    </xf>
    <xf numFmtId="170" fontId="10" fillId="11" borderId="1" applyAlignment="1" pivotButton="0" quotePrefix="0" xfId="0">
      <alignment horizontal="center" vertical="center" wrapText="1"/>
    </xf>
    <xf numFmtId="165" fontId="10" fillId="11" borderId="1" applyAlignment="1" pivotButton="0" quotePrefix="0" xfId="0">
      <alignment horizontal="center" vertical="center" wrapText="1"/>
    </xf>
    <xf numFmtId="0" fontId="29" fillId="23" borderId="1" applyAlignment="1" pivotButton="0" quotePrefix="0" xfId="0">
      <alignment horizontal="left" vertical="center" wrapText="1"/>
    </xf>
    <xf numFmtId="0" fontId="81" fillId="23" borderId="1" applyAlignment="1" pivotButton="0" quotePrefix="0" xfId="0">
      <alignment horizontal="left" vertical="center" wrapText="1"/>
    </xf>
    <xf numFmtId="170" fontId="10" fillId="23" borderId="1" applyAlignment="1" pivotButton="0" quotePrefix="0" xfId="0">
      <alignment horizontal="center" vertical="center" wrapText="1"/>
    </xf>
    <xf numFmtId="165" fontId="10" fillId="23" borderId="1" applyAlignment="1" pivotButton="0" quotePrefix="0" xfId="0">
      <alignment horizontal="center" vertical="center" wrapText="1"/>
    </xf>
    <xf numFmtId="0" fontId="29" fillId="41" borderId="1" applyAlignment="1" pivotButton="0" quotePrefix="0" xfId="0">
      <alignment horizontal="left" vertical="center" wrapText="1"/>
    </xf>
    <xf numFmtId="0" fontId="81" fillId="41" borderId="1" applyAlignment="1" pivotButton="0" quotePrefix="0" xfId="0">
      <alignment horizontal="left" vertical="center" wrapText="1"/>
    </xf>
    <xf numFmtId="170" fontId="10" fillId="41" borderId="1" applyAlignment="1" pivotButton="0" quotePrefix="0" xfId="0">
      <alignment horizontal="center" vertical="center" wrapText="1"/>
    </xf>
    <xf numFmtId="165" fontId="10" fillId="41" borderId="1" applyAlignment="1" pivotButton="0" quotePrefix="0" xfId="0">
      <alignment horizontal="center" vertical="center" wrapText="1"/>
    </xf>
    <xf numFmtId="0" fontId="29" fillId="42" borderId="1" applyAlignment="1" pivotButton="0" quotePrefix="0" xfId="0">
      <alignment horizontal="left" vertical="center" wrapText="1"/>
    </xf>
    <xf numFmtId="0" fontId="81" fillId="42" borderId="1" applyAlignment="1" pivotButton="0" quotePrefix="0" xfId="0">
      <alignment horizontal="left" vertical="center" wrapText="1"/>
    </xf>
    <xf numFmtId="170" fontId="10" fillId="42" borderId="1" applyAlignment="1" pivotButton="0" quotePrefix="0" xfId="0">
      <alignment horizontal="center" vertical="center" wrapText="1"/>
    </xf>
    <xf numFmtId="165" fontId="10" fillId="42" borderId="1" applyAlignment="1" pivotButton="0" quotePrefix="0" xfId="0">
      <alignment horizontal="center" vertical="center" wrapText="1"/>
    </xf>
    <xf numFmtId="0" fontId="29" fillId="43" borderId="1" applyAlignment="1" pivotButton="0" quotePrefix="0" xfId="0">
      <alignment horizontal="left" vertical="center" wrapText="1"/>
    </xf>
    <xf numFmtId="0" fontId="81" fillId="43" borderId="1" applyAlignment="1" pivotButton="0" quotePrefix="0" xfId="0">
      <alignment horizontal="left" vertical="center" wrapText="1"/>
    </xf>
    <xf numFmtId="170" fontId="10" fillId="43" borderId="1" applyAlignment="1" pivotButton="0" quotePrefix="0" xfId="0">
      <alignment horizontal="center" vertical="center" wrapText="1"/>
    </xf>
    <xf numFmtId="165" fontId="10" fillId="43" borderId="1" applyAlignment="1" pivotButton="0" quotePrefix="0" xfId="0">
      <alignment horizontal="center" vertical="center" wrapText="1"/>
    </xf>
    <xf numFmtId="0" fontId="29" fillId="44" borderId="1" applyAlignment="1" pivotButton="0" quotePrefix="0" xfId="0">
      <alignment horizontal="left" vertical="center" wrapText="1"/>
    </xf>
    <xf numFmtId="0" fontId="81" fillId="44" borderId="1" applyAlignment="1" pivotButton="0" quotePrefix="0" xfId="0">
      <alignment horizontal="left" vertical="center" wrapText="1"/>
    </xf>
    <xf numFmtId="170" fontId="10" fillId="44" borderId="1" applyAlignment="1" pivotButton="0" quotePrefix="0" xfId="0">
      <alignment horizontal="center" vertical="center" wrapText="1"/>
    </xf>
    <xf numFmtId="165" fontId="10" fillId="44" borderId="1" applyAlignment="1" pivotButton="0" quotePrefix="0" xfId="0">
      <alignment horizontal="center" vertical="center" wrapText="1"/>
    </xf>
    <xf numFmtId="0" fontId="29" fillId="45" borderId="1" applyAlignment="1" pivotButton="0" quotePrefix="0" xfId="0">
      <alignment horizontal="left" vertical="center" wrapText="1"/>
    </xf>
    <xf numFmtId="0" fontId="81" fillId="45" borderId="1" applyAlignment="1" pivotButton="0" quotePrefix="0" xfId="0">
      <alignment horizontal="left" vertical="center" wrapText="1"/>
    </xf>
    <xf numFmtId="170" fontId="10" fillId="45" borderId="1" applyAlignment="1" pivotButton="0" quotePrefix="0" xfId="0">
      <alignment horizontal="center" vertical="center" wrapText="1"/>
    </xf>
    <xf numFmtId="165" fontId="10" fillId="45" borderId="1" applyAlignment="1" pivotButton="0" quotePrefix="0" xfId="0">
      <alignment horizontal="center" vertical="center" wrapText="1"/>
    </xf>
    <xf numFmtId="0" fontId="29" fillId="40" borderId="3" applyAlignment="1" pivotButton="0" quotePrefix="0" xfId="0">
      <alignment horizontal="left" vertical="center" wrapText="1"/>
    </xf>
    <xf numFmtId="4" fontId="10" fillId="12" borderId="1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left" vertical="center" wrapText="1"/>
    </xf>
    <xf numFmtId="0" fontId="29" fillId="46" borderId="1" applyAlignment="1" pivotButton="0" quotePrefix="0" xfId="0">
      <alignment horizontal="left" vertical="center" wrapText="1"/>
    </xf>
    <xf numFmtId="4" fontId="10" fillId="46" borderId="1" applyAlignment="1" pivotButton="0" quotePrefix="0" xfId="0">
      <alignment horizontal="center" vertical="center" wrapText="1"/>
    </xf>
    <xf numFmtId="170" fontId="82" fillId="46" borderId="1" applyAlignment="1" pivotButton="0" quotePrefix="0" xfId="0">
      <alignment horizontal="center" vertical="center" wrapText="1"/>
    </xf>
    <xf numFmtId="0" fontId="10" fillId="46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165" fontId="78" fillId="12" borderId="1" applyAlignment="1" pivotButton="0" quotePrefix="0" xfId="0">
      <alignment horizontal="center" vertical="center" wrapText="1"/>
    </xf>
    <xf numFmtId="4" fontId="83" fillId="12" borderId="1" applyAlignment="1" pivotButton="0" quotePrefix="0" xfId="0">
      <alignment horizontal="center" vertical="center" wrapText="1"/>
    </xf>
    <xf numFmtId="4" fontId="29" fillId="12" borderId="1" applyAlignment="1" pivotButton="0" quotePrefix="0" xfId="0">
      <alignment horizontal="center" vertical="center" wrapText="1"/>
    </xf>
    <xf numFmtId="0" fontId="84" fillId="11" borderId="1" applyAlignment="1" pivotButton="0" quotePrefix="0" xfId="0">
      <alignment horizontal="center" vertical="center" wrapText="1"/>
    </xf>
    <xf numFmtId="4" fontId="10" fillId="9" borderId="1" applyAlignment="1" pivotButton="0" quotePrefix="0" xfId="0">
      <alignment horizontal="center" vertical="center" wrapText="1"/>
    </xf>
    <xf numFmtId="165" fontId="78" fillId="9" borderId="1" applyAlignment="1" pivotButton="0" quotePrefix="0" xfId="0">
      <alignment horizontal="center" vertical="center" wrapText="1"/>
    </xf>
    <xf numFmtId="4" fontId="83" fillId="9" borderId="1" applyAlignment="1" pivotButton="0" quotePrefix="0" xfId="0">
      <alignment horizontal="center" vertical="center" wrapText="1"/>
    </xf>
    <xf numFmtId="4" fontId="29" fillId="9" borderId="1" applyAlignment="1" pivotButton="0" quotePrefix="0" xfId="0">
      <alignment horizontal="center" vertical="center" wrapText="1"/>
    </xf>
    <xf numFmtId="4" fontId="10" fillId="11" borderId="1" applyAlignment="1" pivotButton="0" quotePrefix="0" xfId="0">
      <alignment horizontal="center" vertical="center" wrapText="1"/>
    </xf>
    <xf numFmtId="165" fontId="78" fillId="11" borderId="1" applyAlignment="1" pivotButton="0" quotePrefix="0" xfId="0">
      <alignment horizontal="center" vertical="center" wrapText="1"/>
    </xf>
    <xf numFmtId="4" fontId="83" fillId="11" borderId="1" applyAlignment="1" pivotButton="0" quotePrefix="0" xfId="0">
      <alignment horizontal="center" vertical="center" wrapText="1"/>
    </xf>
    <xf numFmtId="4" fontId="29" fillId="11" borderId="1" applyAlignment="1" pivotButton="0" quotePrefix="0" xfId="0">
      <alignment horizontal="center" vertical="center" wrapText="1"/>
    </xf>
    <xf numFmtId="4" fontId="10" fillId="23" borderId="1" applyAlignment="1" pivotButton="0" quotePrefix="0" xfId="0">
      <alignment horizontal="center" vertical="center" wrapText="1"/>
    </xf>
    <xf numFmtId="165" fontId="78" fillId="23" borderId="1" applyAlignment="1" pivotButton="0" quotePrefix="0" xfId="0">
      <alignment horizontal="center" vertical="center" wrapText="1"/>
    </xf>
    <xf numFmtId="4" fontId="83" fillId="23" borderId="1" applyAlignment="1" pivotButton="0" quotePrefix="0" xfId="0">
      <alignment horizontal="center" vertical="center" wrapText="1"/>
    </xf>
    <xf numFmtId="4" fontId="29" fillId="23" borderId="1" applyAlignment="1" pivotButton="0" quotePrefix="0" xfId="0">
      <alignment horizontal="center" vertical="center" wrapText="1"/>
    </xf>
    <xf numFmtId="4" fontId="10" fillId="41" borderId="1" applyAlignment="1" pivotButton="0" quotePrefix="0" xfId="0">
      <alignment horizontal="center" vertical="center" wrapText="1"/>
    </xf>
    <xf numFmtId="165" fontId="78" fillId="41" borderId="1" applyAlignment="1" pivotButton="0" quotePrefix="0" xfId="0">
      <alignment horizontal="center" vertical="center" wrapText="1"/>
    </xf>
    <xf numFmtId="4" fontId="83" fillId="41" borderId="1" applyAlignment="1" pivotButton="0" quotePrefix="0" xfId="0">
      <alignment horizontal="center" vertical="center" wrapText="1"/>
    </xf>
    <xf numFmtId="4" fontId="85" fillId="41" borderId="1" applyAlignment="1" pivotButton="0" quotePrefix="0" xfId="0">
      <alignment horizontal="center" vertical="center" wrapText="1"/>
    </xf>
    <xf numFmtId="4" fontId="29" fillId="41" borderId="1" applyAlignment="1" pivotButton="0" quotePrefix="0" xfId="0">
      <alignment horizontal="center" vertical="center" wrapText="1"/>
    </xf>
    <xf numFmtId="4" fontId="10" fillId="42" borderId="1" applyAlignment="1" pivotButton="0" quotePrefix="0" xfId="0">
      <alignment horizontal="center" vertical="center" wrapText="1"/>
    </xf>
    <xf numFmtId="165" fontId="78" fillId="42" borderId="1" applyAlignment="1" pivotButton="0" quotePrefix="0" xfId="0">
      <alignment horizontal="center" vertical="center" wrapText="1"/>
    </xf>
    <xf numFmtId="4" fontId="83" fillId="42" borderId="1" applyAlignment="1" pivotButton="0" quotePrefix="0" xfId="0">
      <alignment horizontal="center" vertical="center" wrapText="1"/>
    </xf>
    <xf numFmtId="4" fontId="29" fillId="42" borderId="1" applyAlignment="1" pivotButton="0" quotePrefix="0" xfId="0">
      <alignment horizontal="center" vertical="center" wrapText="1"/>
    </xf>
    <xf numFmtId="4" fontId="10" fillId="43" borderId="1" applyAlignment="1" pivotButton="0" quotePrefix="0" xfId="0">
      <alignment horizontal="center" vertical="center" wrapText="1"/>
    </xf>
    <xf numFmtId="165" fontId="78" fillId="43" borderId="1" applyAlignment="1" pivotButton="0" quotePrefix="0" xfId="0">
      <alignment horizontal="center" vertical="center" wrapText="1"/>
    </xf>
    <xf numFmtId="4" fontId="83" fillId="43" borderId="1" applyAlignment="1" pivotButton="0" quotePrefix="0" xfId="0">
      <alignment horizontal="center" vertical="center" wrapText="1"/>
    </xf>
    <xf numFmtId="4" fontId="29" fillId="43" borderId="1" applyAlignment="1" pivotButton="0" quotePrefix="0" xfId="0">
      <alignment horizontal="center" vertical="center" wrapText="1"/>
    </xf>
    <xf numFmtId="4" fontId="10" fillId="44" borderId="1" applyAlignment="1" pivotButton="0" quotePrefix="0" xfId="0">
      <alignment horizontal="center" vertical="center" wrapText="1"/>
    </xf>
    <xf numFmtId="165" fontId="78" fillId="44" borderId="1" applyAlignment="1" pivotButton="0" quotePrefix="0" xfId="0">
      <alignment horizontal="center" vertical="center" wrapText="1"/>
    </xf>
    <xf numFmtId="4" fontId="83" fillId="44" borderId="1" applyAlignment="1" pivotButton="0" quotePrefix="0" xfId="0">
      <alignment horizontal="center" vertical="center" wrapText="1"/>
    </xf>
    <xf numFmtId="4" fontId="29" fillId="44" borderId="1" applyAlignment="1" pivotButton="0" quotePrefix="0" xfId="0">
      <alignment horizontal="center" vertical="center" wrapText="1"/>
    </xf>
    <xf numFmtId="4" fontId="10" fillId="45" borderId="1" applyAlignment="1" pivotButton="0" quotePrefix="0" xfId="0">
      <alignment horizontal="center" vertical="center" wrapText="1"/>
    </xf>
    <xf numFmtId="165" fontId="78" fillId="45" borderId="1" applyAlignment="1" pivotButton="0" quotePrefix="0" xfId="0">
      <alignment horizontal="center" vertical="center" wrapText="1"/>
    </xf>
    <xf numFmtId="4" fontId="83" fillId="45" borderId="1" applyAlignment="1" pivotButton="0" quotePrefix="0" xfId="0">
      <alignment horizontal="center" vertical="center" wrapText="1"/>
    </xf>
    <xf numFmtId="4" fontId="29" fillId="4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  <xf numFmtId="0" fontId="86" fillId="47" borderId="3" applyAlignment="1" pivotButton="0" quotePrefix="0" xfId="0">
      <alignment horizontal="center" vertical="center"/>
    </xf>
    <xf numFmtId="0" fontId="87" fillId="11" borderId="3" applyAlignment="1" pivotButton="0" quotePrefix="0" xfId="0">
      <alignment horizontal="left" vertical="center"/>
    </xf>
    <xf numFmtId="4" fontId="88" fillId="11" borderId="1" applyAlignment="1" pivotButton="0" quotePrefix="0" xfId="0">
      <alignment horizontal="center" vertical="center"/>
    </xf>
    <xf numFmtId="0" fontId="89" fillId="47" borderId="11" applyAlignment="1" pivotButton="0" quotePrefix="0" xfId="0">
      <alignment horizontal="left" vertical="center"/>
    </xf>
    <xf numFmtId="0" fontId="89" fillId="47" borderId="11" applyAlignment="1" pivotButton="0" quotePrefix="0" xfId="0">
      <alignment horizontal="center" vertical="center"/>
    </xf>
    <xf numFmtId="0" fontId="90" fillId="48" borderId="11" applyAlignment="1" pivotButton="0" quotePrefix="0" xfId="0">
      <alignment horizontal="left" vertical="center"/>
    </xf>
    <xf numFmtId="4" fontId="91" fillId="48" borderId="11" applyAlignment="1" pivotButton="0" quotePrefix="0" xfId="0">
      <alignment horizontal="right" vertical="center"/>
    </xf>
    <xf numFmtId="4" fontId="90" fillId="48" borderId="11" applyAlignment="1" pivotButton="0" quotePrefix="0" xfId="0">
      <alignment horizontal="right" vertical="center"/>
    </xf>
    <xf numFmtId="3" fontId="92" fillId="48" borderId="11" applyAlignment="1" pivotButton="0" quotePrefix="0" xfId="0">
      <alignment horizontal="right" vertical="center"/>
    </xf>
    <xf numFmtId="0" fontId="90" fillId="3" borderId="11" applyAlignment="1" pivotButton="0" quotePrefix="0" xfId="0">
      <alignment horizontal="left" vertical="center"/>
    </xf>
    <xf numFmtId="4" fontId="91" fillId="3" borderId="11" applyAlignment="1" pivotButton="0" quotePrefix="0" xfId="0">
      <alignment horizontal="right" vertical="center"/>
    </xf>
    <xf numFmtId="4" fontId="90" fillId="3" borderId="11" applyAlignment="1" pivotButton="0" quotePrefix="0" xfId="0">
      <alignment horizontal="right" vertical="center"/>
    </xf>
    <xf numFmtId="3" fontId="92" fillId="3" borderId="11" applyAlignment="1" pivotButton="0" quotePrefix="0" xfId="0">
      <alignment horizontal="right" vertical="center"/>
    </xf>
    <xf numFmtId="0" fontId="93" fillId="13" borderId="1" applyAlignment="1" pivotButton="0" quotePrefix="0" xfId="0">
      <alignment horizontal="left" vertical="center"/>
    </xf>
    <xf numFmtId="0" fontId="94" fillId="49" borderId="11" applyAlignment="1" pivotButton="0" quotePrefix="0" xfId="0">
      <alignment horizontal="left" vertical="center"/>
    </xf>
    <xf numFmtId="4" fontId="91" fillId="49" borderId="11" applyAlignment="1" pivotButton="0" quotePrefix="0" xfId="0">
      <alignment horizontal="right" vertical="center"/>
    </xf>
    <xf numFmtId="4" fontId="90" fillId="49" borderId="11" applyAlignment="1" pivotButton="0" quotePrefix="0" xfId="0">
      <alignment horizontal="right" vertical="center"/>
    </xf>
    <xf numFmtId="3" fontId="92" fillId="49" borderId="11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95" fillId="47" borderId="12" applyAlignment="1" pivotButton="0" quotePrefix="0" xfId="0">
      <alignment horizontal="left" vertical="center"/>
    </xf>
    <xf numFmtId="4" fontId="95" fillId="47" borderId="11" applyAlignment="1" pivotButton="0" quotePrefix="0" xfId="0">
      <alignment horizontal="right" vertical="center"/>
    </xf>
    <xf numFmtId="3" fontId="95" fillId="47" borderId="11" applyAlignment="1" pivotButton="0" quotePrefix="0" xfId="0">
      <alignment horizontal="right" vertical="center"/>
    </xf>
    <xf numFmtId="0" fontId="0" fillId="23" borderId="0" applyAlignment="1" pivotButton="0" quotePrefix="0" xfId="0">
      <alignment horizontal="general" vertical="bottom"/>
    </xf>
    <xf numFmtId="0" fontId="56" fillId="47" borderId="0" applyAlignment="1" pivotButton="0" quotePrefix="0" xfId="0">
      <alignment horizontal="left" vertical="center"/>
    </xf>
    <xf numFmtId="0" fontId="0" fillId="47" borderId="13" applyAlignment="1" pivotButton="0" quotePrefix="0" xfId="0">
      <alignment horizontal="general" vertical="bottom"/>
    </xf>
    <xf numFmtId="0" fontId="64" fillId="48" borderId="13" applyAlignment="1" pivotButton="0" quotePrefix="0" xfId="0">
      <alignment horizontal="left" vertical="center"/>
    </xf>
    <xf numFmtId="166" fontId="96" fillId="48" borderId="13" applyAlignment="1" pivotButton="0" quotePrefix="0" xfId="0">
      <alignment horizontal="left" vertical="center"/>
    </xf>
    <xf numFmtId="168" fontId="64" fillId="48" borderId="13" applyAlignment="1" pivotButton="0" quotePrefix="0" xfId="0">
      <alignment horizontal="center" vertical="center"/>
    </xf>
    <xf numFmtId="171" fontId="58" fillId="48" borderId="13" applyAlignment="1" pivotButton="0" quotePrefix="0" xfId="0">
      <alignment horizontal="center" vertical="center"/>
    </xf>
    <xf numFmtId="0" fontId="64" fillId="3" borderId="13" applyAlignment="1" pivotButton="0" quotePrefix="0" xfId="0">
      <alignment horizontal="left" vertical="center"/>
    </xf>
    <xf numFmtId="166" fontId="96" fillId="3" borderId="13" applyAlignment="1" pivotButton="0" quotePrefix="0" xfId="0">
      <alignment horizontal="left" vertical="center"/>
    </xf>
    <xf numFmtId="168" fontId="64" fillId="3" borderId="13" applyAlignment="1" pivotButton="0" quotePrefix="0" xfId="0">
      <alignment horizontal="center" vertical="center"/>
    </xf>
    <xf numFmtId="171" fontId="58" fillId="3" borderId="13" applyAlignment="1" pivotButton="0" quotePrefix="0" xfId="0">
      <alignment horizontal="center" vertical="center"/>
    </xf>
    <xf numFmtId="168" fontId="77" fillId="47" borderId="13" applyAlignment="1" pivotButton="0" quotePrefix="0" xfId="0">
      <alignment horizontal="center" vertical="center"/>
    </xf>
    <xf numFmtId="171" fontId="77" fillId="47" borderId="13" applyAlignment="1" pivotButton="0" quotePrefix="0" xfId="0">
      <alignment horizontal="center" vertical="center"/>
    </xf>
    <xf numFmtId="0" fontId="97" fillId="47" borderId="14" applyAlignment="1" pivotButton="0" quotePrefix="0" xfId="0">
      <alignment horizontal="left" vertical="center"/>
    </xf>
    <xf numFmtId="0" fontId="97" fillId="47" borderId="14" applyAlignment="1" pivotButton="0" quotePrefix="0" xfId="0">
      <alignment horizontal="center" vertical="center"/>
    </xf>
    <xf numFmtId="168" fontId="98" fillId="47" borderId="14" applyAlignment="1" pivotButton="0" quotePrefix="0" xfId="0">
      <alignment horizontal="center" vertical="center"/>
    </xf>
    <xf numFmtId="171" fontId="98" fillId="47" borderId="14" applyAlignment="1" pivotButton="0" quotePrefix="0" xfId="0">
      <alignment horizontal="center" vertical="center"/>
    </xf>
    <xf numFmtId="0" fontId="99" fillId="4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/>
    </xf>
    <xf numFmtId="0" fontId="6" fillId="50" borderId="3" applyAlignment="1" pivotButton="0" quotePrefix="0" xfId="0">
      <alignment horizontal="left" vertical="center" wrapText="1"/>
    </xf>
    <xf numFmtId="0" fontId="100" fillId="14" borderId="15" applyAlignment="1" pivotButton="0" quotePrefix="0" xfId="0">
      <alignment horizontal="left" vertical="center"/>
    </xf>
    <xf numFmtId="0" fontId="100" fillId="14" borderId="15" applyAlignment="1" pivotButton="0" quotePrefix="0" xfId="0">
      <alignment horizontal="center" vertical="center"/>
    </xf>
    <xf numFmtId="4" fontId="101" fillId="14" borderId="15" applyAlignment="1" pivotButton="0" quotePrefix="0" xfId="0">
      <alignment horizontal="right" vertical="center"/>
    </xf>
    <xf numFmtId="0" fontId="102" fillId="14" borderId="15" applyAlignment="1" pivotButton="0" quotePrefix="0" xfId="0">
      <alignment horizontal="center" vertical="center"/>
    </xf>
    <xf numFmtId="0" fontId="103" fillId="46" borderId="1" applyAlignment="1" pivotButton="0" quotePrefix="0" xfId="0">
      <alignment horizontal="left" vertical="center" wrapText="1"/>
    </xf>
    <xf numFmtId="170" fontId="78" fillId="46" borderId="1" applyAlignment="1" pivotButton="0" quotePrefix="0" xfId="0">
      <alignment horizontal="center" vertical="center" wrapText="1"/>
    </xf>
    <xf numFmtId="0" fontId="100" fillId="22" borderId="15" applyAlignment="1" pivotButton="0" quotePrefix="0" xfId="0">
      <alignment horizontal="left" vertical="center"/>
    </xf>
    <xf numFmtId="0" fontId="100" fillId="22" borderId="15" applyAlignment="1" pivotButton="0" quotePrefix="0" xfId="0">
      <alignment horizontal="center" vertical="center"/>
    </xf>
    <xf numFmtId="4" fontId="101" fillId="22" borderId="15" applyAlignment="1" pivotButton="0" quotePrefix="0" xfId="0">
      <alignment horizontal="right" vertical="center"/>
    </xf>
    <xf numFmtId="0" fontId="102" fillId="22" borderId="15" applyAlignment="1" pivotButton="0" quotePrefix="0" xfId="0">
      <alignment horizontal="center" vertical="center"/>
    </xf>
    <xf numFmtId="170" fontId="29" fillId="46" borderId="1" applyAlignment="1" pivotButton="0" quotePrefix="0" xfId="0">
      <alignment horizontal="center" vertical="center" wrapText="1"/>
    </xf>
    <xf numFmtId="0" fontId="104" fillId="14" borderId="15" applyAlignment="1" pivotButton="0" quotePrefix="0" xfId="0">
      <alignment horizontal="center" vertical="center"/>
    </xf>
    <xf numFmtId="0" fontId="103" fillId="12" borderId="1" applyAlignment="1" pivotButton="0" quotePrefix="0" xfId="0">
      <alignment horizontal="left" vertical="center" wrapText="1"/>
    </xf>
    <xf numFmtId="170" fontId="78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4" fillId="22" borderId="15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42" fillId="21" borderId="6" applyAlignment="1" pivotButton="0" quotePrefix="0" xfId="0">
      <alignment horizontal="center" vertical="center"/>
    </xf>
    <xf numFmtId="4" fontId="42" fillId="21" borderId="6" applyAlignment="1" pivotButton="0" quotePrefix="0" xfId="0">
      <alignment horizontal="right" vertical="center"/>
    </xf>
    <xf numFmtId="0" fontId="0" fillId="21" borderId="6" applyAlignment="1" pivotButton="0" quotePrefix="0" xfId="0">
      <alignment horizontal="general" vertical="bottom"/>
    </xf>
    <xf numFmtId="170" fontId="81" fillId="12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left" vertical="center" wrapText="1"/>
    </xf>
    <xf numFmtId="170" fontId="6" fillId="50" borderId="1" applyAlignment="1" pivotButton="0" quotePrefix="0" xfId="0">
      <alignment horizontal="center" vertical="center" wrapText="1"/>
    </xf>
    <xf numFmtId="0" fontId="6" fillId="51" borderId="3" applyAlignment="1" pivotButton="0" quotePrefix="0" xfId="0">
      <alignment horizontal="left" vertical="center" wrapText="1"/>
    </xf>
    <xf numFmtId="0" fontId="10" fillId="52" borderId="1" applyAlignment="1" pivotButton="0" quotePrefix="0" xfId="0">
      <alignment horizontal="left" vertical="center" wrapText="1"/>
    </xf>
    <xf numFmtId="170" fontId="10" fillId="52" borderId="1" applyAlignment="1" pivotButton="0" quotePrefix="0" xfId="0">
      <alignment horizontal="center" vertical="center" wrapText="1"/>
    </xf>
    <xf numFmtId="170" fontId="78" fillId="52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left" vertical="center" wrapText="1"/>
    </xf>
    <xf numFmtId="4" fontId="100" fillId="52" borderId="1" applyAlignment="1" pivotButton="0" quotePrefix="0" xfId="0">
      <alignment horizontal="center" vertical="center" wrapText="1"/>
    </xf>
    <xf numFmtId="4" fontId="5" fillId="52" borderId="1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left" vertical="center" wrapText="1"/>
    </xf>
    <xf numFmtId="0" fontId="81" fillId="32" borderId="1" applyAlignment="1" pivotButton="0" quotePrefix="0" xfId="0">
      <alignment horizontal="left" vertical="center" wrapText="1"/>
    </xf>
    <xf numFmtId="170" fontId="81" fillId="32" borderId="1" applyAlignment="1" pivotButton="0" quotePrefix="0" xfId="0">
      <alignment horizontal="center" vertical="center" wrapText="1"/>
    </xf>
    <xf numFmtId="170" fontId="6" fillId="7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170" fontId="6" fillId="20" borderId="1" applyAlignment="1" pivotButton="0" quotePrefix="0" xfId="0">
      <alignment horizontal="center" vertical="center" wrapText="1"/>
    </xf>
    <xf numFmtId="0" fontId="81" fillId="32" borderId="3" applyAlignment="1" pivotButton="0" quotePrefix="0" xfId="0">
      <alignment horizontal="center" vertical="center" wrapText="1"/>
    </xf>
    <xf numFmtId="0" fontId="41" fillId="4" borderId="3" applyAlignment="1" pivotButton="0" quotePrefix="0" xfId="0">
      <alignment horizontal="left" vertical="center" wrapText="1"/>
    </xf>
    <xf numFmtId="0" fontId="81" fillId="46" borderId="1" applyAlignment="1" pivotButton="0" quotePrefix="0" xfId="0">
      <alignment horizontal="left" vertical="center" wrapText="1"/>
    </xf>
    <xf numFmtId="0" fontId="10" fillId="50" borderId="1" applyAlignment="1" pivotButton="0" quotePrefix="0" xfId="0">
      <alignment horizontal="center" vertical="center" wrapText="1"/>
    </xf>
    <xf numFmtId="0" fontId="41" fillId="53" borderId="3" applyAlignment="1" pivotButton="0" quotePrefix="0" xfId="0">
      <alignment horizontal="left" vertical="center" wrapText="1"/>
    </xf>
    <xf numFmtId="0" fontId="10" fillId="54" borderId="1" applyAlignment="1" pivotButton="0" quotePrefix="0" xfId="0">
      <alignment horizontal="left" vertical="center" wrapText="1"/>
    </xf>
    <xf numFmtId="170" fontId="10" fillId="54" borderId="1" applyAlignment="1" pivotButton="0" quotePrefix="0" xfId="0">
      <alignment horizontal="center" vertical="center" wrapText="1"/>
    </xf>
    <xf numFmtId="0" fontId="81" fillId="54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170" fontId="6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8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 indent="1"/>
    </xf>
    <xf numFmtId="4" fontId="15" fillId="9" borderId="1" applyAlignment="1" pivotButton="0" quotePrefix="0" xfId="0">
      <alignment horizontal="center" vertical="center" indent="1"/>
    </xf>
    <xf numFmtId="165" fontId="16" fillId="8" borderId="1" applyAlignment="1" pivotButton="0" quotePrefix="0" xfId="0">
      <alignment horizontal="center" vertical="center" indent="1"/>
    </xf>
    <xf numFmtId="4" fontId="14" fillId="10" borderId="1" applyAlignment="1" pivotButton="0" quotePrefix="0" xfId="0">
      <alignment horizontal="center" vertical="center" indent="1"/>
    </xf>
    <xf numFmtId="4" fontId="10" fillId="10" borderId="1" applyAlignment="1" pivotButton="0" quotePrefix="0" xfId="0">
      <alignment horizontal="center" vertical="center" indent="1"/>
    </xf>
    <xf numFmtId="0" fontId="17" fillId="11" borderId="1" applyAlignment="1" pivotButton="0" quotePrefix="0" xfId="0">
      <alignment wrapText="1"/>
    </xf>
    <xf numFmtId="4" fontId="18" fillId="12" borderId="1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165" fontId="21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 indent="1"/>
    </xf>
    <xf numFmtId="165" fontId="16" fillId="15" borderId="1" applyAlignment="1" pivotButton="0" quotePrefix="0" xfId="0">
      <alignment horizontal="center" vertical="center" indent="1"/>
    </xf>
    <xf numFmtId="0" fontId="22" fillId="16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center" vertical="center"/>
    </xf>
    <xf numFmtId="165" fontId="21" fillId="3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164" fontId="14" fillId="17" borderId="1" applyAlignment="1" pivotButton="0" quotePrefix="0" xfId="0">
      <alignment horizontal="center" vertical="center" indent="1"/>
    </xf>
    <xf numFmtId="165" fontId="16" fillId="17" borderId="1" applyAlignment="1" pivotButton="0" quotePrefix="0" xfId="0">
      <alignment horizontal="center" vertical="center" indent="1"/>
    </xf>
    <xf numFmtId="0" fontId="23" fillId="18" borderId="1" applyAlignment="1" pivotButton="0" quotePrefix="0" xfId="0">
      <alignment horizontal="general" vertical="top" wrapText="1"/>
    </xf>
    <xf numFmtId="0" fontId="19" fillId="12" borderId="2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top" wrapText="1"/>
    </xf>
    <xf numFmtId="0" fontId="24" fillId="3" borderId="2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164" fontId="14" fillId="19" borderId="1" applyAlignment="1" pivotButton="0" quotePrefix="0" xfId="0">
      <alignment horizontal="center" vertical="center" indent="1"/>
    </xf>
    <xf numFmtId="165" fontId="16" fillId="19" borderId="1" applyAlignment="1" pivotButton="0" quotePrefix="0" xfId="0">
      <alignment horizontal="center" vertical="center" indent="1"/>
    </xf>
    <xf numFmtId="0" fontId="25" fillId="18" borderId="1" applyAlignment="1" pivotButton="0" quotePrefix="0" xfId="0">
      <alignment horizontal="left" vertical="top" wrapText="1"/>
    </xf>
    <xf numFmtId="4" fontId="26" fillId="12" borderId="1" applyAlignment="1" pivotButton="0" quotePrefix="0" xfId="0">
      <alignment horizontal="center" vertical="center" indent="1"/>
    </xf>
    <xf numFmtId="0" fontId="27" fillId="14" borderId="1" applyAlignment="1" pivotButton="0" quotePrefix="0" xfId="0">
      <alignment horizontal="center" vertical="center"/>
    </xf>
    <xf numFmtId="165" fontId="27" fillId="1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28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164" fontId="10" fillId="22" borderId="1" applyAlignment="1" pivotButton="0" quotePrefix="0" xfId="0">
      <alignment horizontal="center" vertical="center"/>
    </xf>
    <xf numFmtId="4" fontId="29" fillId="22" borderId="1" applyAlignment="1" pivotButton="0" quotePrefix="0" xfId="0">
      <alignment horizontal="center" vertical="center"/>
    </xf>
    <xf numFmtId="165" fontId="30" fillId="11" borderId="1" applyAlignment="1" pivotButton="0" quotePrefix="0" xfId="0">
      <alignment horizontal="center" vertical="center"/>
    </xf>
    <xf numFmtId="4" fontId="31" fillId="23" borderId="1" applyAlignment="1" pivotButton="0" quotePrefix="0" xfId="0">
      <alignment horizontal="center" vertical="center"/>
    </xf>
    <xf numFmtId="0" fontId="31" fillId="23" borderId="1" applyAlignment="1" pivotButton="0" quotePrefix="0" xfId="0">
      <alignment horizontal="center" vertical="center"/>
    </xf>
    <xf numFmtId="0" fontId="6" fillId="24" borderId="3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left" vertical="center" wrapText="1"/>
    </xf>
    <xf numFmtId="4" fontId="30" fillId="26" borderId="1" applyAlignment="1" pivotButton="0" quotePrefix="0" xfId="0">
      <alignment horizontal="center" vertical="center"/>
    </xf>
    <xf numFmtId="0" fontId="32" fillId="26" borderId="3" applyAlignment="1" pivotButton="0" quotePrefix="0" xfId="0">
      <alignment horizontal="left" vertical="center"/>
    </xf>
    <xf numFmtId="0" fontId="29" fillId="27" borderId="1" applyAlignment="1" pivotButton="0" quotePrefix="0" xfId="0">
      <alignment horizontal="left" vertical="center" wrapText="1"/>
    </xf>
    <xf numFmtId="0" fontId="32" fillId="27" borderId="1" applyAlignment="1" pivotButton="0" quotePrefix="0" xfId="0">
      <alignment horizontal="center" vertical="center"/>
    </xf>
    <xf numFmtId="4" fontId="33" fillId="27" borderId="1" applyAlignment="1" pivotButton="0" quotePrefix="0" xfId="0">
      <alignment horizontal="center" vertical="center"/>
    </xf>
    <xf numFmtId="0" fontId="32" fillId="27" borderId="3" applyAlignment="1" pivotButton="0" quotePrefix="0" xfId="0">
      <alignment horizontal="left" vertical="center"/>
    </xf>
    <xf numFmtId="0" fontId="32" fillId="26" borderId="1" applyAlignment="1" pivotButton="0" quotePrefix="0" xfId="0">
      <alignment horizontal="center" vertical="center"/>
    </xf>
    <xf numFmtId="4" fontId="29" fillId="26" borderId="1" applyAlignment="1" pivotButton="0" quotePrefix="0" xfId="0">
      <alignment horizontal="center" vertical="center"/>
    </xf>
    <xf numFmtId="0" fontId="34" fillId="26" borderId="3" applyAlignment="1" pivotButton="0" quotePrefix="0" xfId="0">
      <alignment horizontal="left" vertical="center"/>
    </xf>
    <xf numFmtId="0" fontId="35" fillId="27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general" vertical="bottom"/>
    </xf>
    <xf numFmtId="0" fontId="6" fillId="4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general" vertical="bottom"/>
    </xf>
    <xf numFmtId="0" fontId="6" fillId="28" borderId="0" applyAlignment="1" pivotButton="0" quotePrefix="0" xfId="0">
      <alignment horizontal="left" vertical="center" wrapText="1"/>
    </xf>
    <xf numFmtId="0" fontId="37" fillId="17" borderId="0" applyAlignment="1" pivotButton="0" quotePrefix="0" xfId="0">
      <alignment horizontal="left" vertical="top" wrapText="1"/>
    </xf>
    <xf numFmtId="0" fontId="6" fillId="13" borderId="0" applyAlignment="1" pivotButton="0" quotePrefix="0" xfId="0">
      <alignment horizontal="left" vertical="center" wrapText="1"/>
    </xf>
    <xf numFmtId="0" fontId="38" fillId="29" borderId="0" applyAlignment="1" pivotButton="0" quotePrefix="0" xfId="0">
      <alignment horizontal="left" vertical="top" wrapText="1"/>
    </xf>
    <xf numFmtId="0" fontId="6" fillId="21" borderId="0" applyAlignment="1" pivotButton="0" quotePrefix="0" xfId="0">
      <alignment horizontal="left" vertical="center" wrapText="1"/>
    </xf>
    <xf numFmtId="0" fontId="39" fillId="8" borderId="0" applyAlignment="1" pivotButton="0" quotePrefix="0" xfId="0">
      <alignment horizontal="left" vertical="top" wrapText="1"/>
    </xf>
    <xf numFmtId="0" fontId="6" fillId="30" borderId="0" applyAlignment="1" pivotButton="0" quotePrefix="0" xfId="0">
      <alignment horizontal="left" vertical="center" wrapText="1"/>
    </xf>
    <xf numFmtId="0" fontId="40" fillId="14" borderId="0" applyAlignment="1" pivotButton="0" quotePrefix="0" xfId="0">
      <alignment horizontal="left" vertical="center" wrapText="1"/>
    </xf>
    <xf numFmtId="0" fontId="6" fillId="31" borderId="0" applyAlignment="1" pivotButton="0" quotePrefix="0" xfId="0">
      <alignment horizontal="left" vertical="center" wrapText="1"/>
    </xf>
    <xf numFmtId="0" fontId="41" fillId="2" borderId="5" applyAlignment="1" pivotButton="0" quotePrefix="0" xfId="0">
      <alignment horizontal="left" vertical="center" wrapText="1"/>
    </xf>
    <xf numFmtId="0" fontId="0" fillId="0" borderId="20" pivotButton="0" quotePrefix="0" xfId="0"/>
    <xf numFmtId="0" fontId="42" fillId="6" borderId="6" applyAlignment="1" pivotButton="0" quotePrefix="0" xfId="0">
      <alignment horizontal="center" vertical="center" wrapText="1"/>
    </xf>
    <xf numFmtId="0" fontId="42" fillId="6" borderId="5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43" fillId="5" borderId="6" applyAlignment="1" pivotButton="0" quotePrefix="0" xfId="0">
      <alignment horizontal="center" vertical="center" wrapText="1"/>
    </xf>
    <xf numFmtId="0" fontId="44" fillId="5" borderId="5" applyAlignment="1" pivotButton="0" quotePrefix="0" xfId="0">
      <alignment horizontal="left" vertical="top" wrapText="1"/>
    </xf>
    <xf numFmtId="0" fontId="45" fillId="5" borderId="5" applyAlignment="1" pivotButton="0" quotePrefix="0" xfId="0">
      <alignment horizontal="left" vertical="top" wrapText="1"/>
    </xf>
    <xf numFmtId="0" fontId="46" fillId="5" borderId="5" applyAlignment="1" pivotButton="0" quotePrefix="0" xfId="0">
      <alignment horizontal="center" vertical="center" wrapText="1"/>
    </xf>
    <xf numFmtId="0" fontId="47" fillId="5" borderId="5" applyAlignment="1" pivotButton="0" quotePrefix="0" xfId="0">
      <alignment horizontal="left" vertical="top" wrapText="1"/>
    </xf>
    <xf numFmtId="0" fontId="48" fillId="5" borderId="5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43" fillId="12" borderId="6" applyAlignment="1" pivotButton="0" quotePrefix="0" xfId="0">
      <alignment horizontal="center" vertical="center" wrapText="1"/>
    </xf>
    <xf numFmtId="0" fontId="44" fillId="12" borderId="5" applyAlignment="1" pivotButton="0" quotePrefix="0" xfId="0">
      <alignment horizontal="left" vertical="top" wrapText="1"/>
    </xf>
    <xf numFmtId="0" fontId="45" fillId="12" borderId="5" applyAlignment="1" pivotButton="0" quotePrefix="0" xfId="0">
      <alignment horizontal="left" vertical="top" wrapText="1"/>
    </xf>
    <xf numFmtId="0" fontId="49" fillId="12" borderId="5" applyAlignment="1" pivotButton="0" quotePrefix="0" xfId="0">
      <alignment horizontal="center" vertical="center" wrapText="1"/>
    </xf>
    <xf numFmtId="0" fontId="47" fillId="12" borderId="5" applyAlignment="1" pivotButton="0" quotePrefix="0" xfId="0">
      <alignment horizontal="left" vertical="top" wrapText="1"/>
    </xf>
    <xf numFmtId="0" fontId="48" fillId="12" borderId="5" applyAlignment="1" pivotButton="0" quotePrefix="0" xfId="0">
      <alignment horizontal="center" vertical="center" wrapText="1"/>
    </xf>
    <xf numFmtId="0" fontId="50" fillId="32" borderId="5" applyAlignment="1" pivotButton="0" quotePrefix="0" xfId="0">
      <alignment horizontal="left" vertical="center" wrapText="1"/>
    </xf>
    <xf numFmtId="0" fontId="41" fillId="33" borderId="5" applyAlignment="1" pivotButton="0" quotePrefix="0" xfId="0">
      <alignment horizontal="left" vertical="center" wrapText="1"/>
    </xf>
    <xf numFmtId="0" fontId="42" fillId="34" borderId="5" applyAlignment="1" pivotButton="0" quotePrefix="0" xfId="0">
      <alignment horizontal="center" vertical="center" wrapText="1"/>
    </xf>
    <xf numFmtId="166" fontId="54" fillId="10" borderId="6" applyAlignment="1" pivotButton="0" quotePrefix="0" xfId="0">
      <alignment horizontal="center" vertical="center" wrapText="1"/>
    </xf>
    <xf numFmtId="166" fontId="54" fillId="10" borderId="5" applyAlignment="1" pivotButton="0" quotePrefix="0" xfId="0">
      <alignment horizontal="center" vertical="center" wrapText="1"/>
    </xf>
    <xf numFmtId="0" fontId="55" fillId="12" borderId="6" applyAlignment="1" pivotButton="0" quotePrefix="0" xfId="0">
      <alignment horizontal="left" vertical="center" wrapText="1"/>
    </xf>
    <xf numFmtId="0" fontId="42" fillId="34" borderId="6" applyAlignment="1" pivotButton="0" quotePrefix="0" xfId="0">
      <alignment horizontal="center" vertical="center" wrapText="1"/>
    </xf>
    <xf numFmtId="0" fontId="56" fillId="34" borderId="7" applyAlignment="1" pivotButton="0" quotePrefix="0" xfId="0">
      <alignment horizontal="center" vertical="center" wrapText="1"/>
    </xf>
    <xf numFmtId="0" fontId="56" fillId="35" borderId="8" applyAlignment="1" pivotButton="0" quotePrefix="0" xfId="0">
      <alignment horizontal="center" vertical="center" wrapText="1"/>
    </xf>
    <xf numFmtId="0" fontId="0" fillId="35" borderId="8" applyAlignment="1" pivotButton="0" quotePrefix="0" xfId="0">
      <alignment horizontal="general" vertical="bottom"/>
    </xf>
    <xf numFmtId="0" fontId="56" fillId="34" borderId="9" applyAlignment="1" pivotButton="0" quotePrefix="0" xfId="0">
      <alignment horizontal="center" vertical="center" wrapText="1"/>
    </xf>
    <xf numFmtId="0" fontId="57" fillId="10" borderId="9" applyAlignment="1" pivotButton="0" quotePrefix="0" xfId="0">
      <alignment horizontal="center" vertical="center" wrapText="1"/>
    </xf>
    <xf numFmtId="0" fontId="58" fillId="10" borderId="9" applyAlignment="1" pivotButton="0" quotePrefix="0" xfId="0">
      <alignment horizontal="center" vertical="center" wrapText="1"/>
    </xf>
    <xf numFmtId="167" fontId="59" fillId="10" borderId="9" applyAlignment="1" pivotButton="0" quotePrefix="0" xfId="0">
      <alignment horizontal="center" vertical="center" wrapText="1"/>
    </xf>
    <xf numFmtId="166" fontId="59" fillId="10" borderId="9" applyAlignment="1" pivotButton="0" quotePrefix="0" xfId="0">
      <alignment horizontal="center" vertical="center" wrapText="1"/>
    </xf>
    <xf numFmtId="2" fontId="58" fillId="10" borderId="9" applyAlignment="1" pivotButton="0" quotePrefix="0" xfId="0">
      <alignment horizontal="center" vertical="center" wrapText="1"/>
    </xf>
    <xf numFmtId="166" fontId="58" fillId="10" borderId="9" applyAlignment="1" pivotButton="0" quotePrefix="0" xfId="0">
      <alignment horizontal="center" vertical="center" wrapText="1"/>
    </xf>
    <xf numFmtId="165" fontId="60" fillId="10" borderId="9" applyAlignment="1" pivotButton="0" quotePrefix="0" xfId="0">
      <alignment horizontal="center" vertical="center" wrapText="1"/>
    </xf>
    <xf numFmtId="165" fontId="61" fillId="10" borderId="9" applyAlignment="1" pivotButton="0" quotePrefix="0" xfId="0">
      <alignment horizontal="center" vertical="center" wrapText="1"/>
    </xf>
    <xf numFmtId="167" fontId="58" fillId="10" borderId="9" applyAlignment="1" pivotButton="0" quotePrefix="0" xfId="0">
      <alignment horizontal="center" vertical="center" wrapText="1"/>
    </xf>
    <xf numFmtId="166" fontId="61" fillId="10" borderId="9" applyAlignment="1" pivotButton="0" quotePrefix="0" xfId="0">
      <alignment horizontal="center" vertical="center" wrapText="1"/>
    </xf>
    <xf numFmtId="166" fontId="60" fillId="10" borderId="9" applyAlignment="1" pivotButton="0" quotePrefix="0" xfId="0">
      <alignment horizontal="center" vertical="center" wrapText="1"/>
    </xf>
    <xf numFmtId="0" fontId="62" fillId="8" borderId="9" applyAlignment="1" pivotButton="0" quotePrefix="0" xfId="0">
      <alignment horizontal="left" vertical="top" wrapText="1"/>
    </xf>
    <xf numFmtId="166" fontId="63" fillId="19" borderId="7" applyAlignment="1" pivotButton="0" quotePrefix="0" xfId="0">
      <alignment horizontal="center" vertical="center"/>
    </xf>
    <xf numFmtId="168" fontId="64" fillId="10" borderId="8" applyAlignment="1" pivotButton="0" quotePrefix="0" xfId="0">
      <alignment horizontal="center" vertical="center"/>
    </xf>
    <xf numFmtId="169" fontId="64" fillId="10" borderId="8" applyAlignment="1" pivotButton="0" quotePrefix="0" xfId="0">
      <alignment horizontal="center" vertical="center"/>
    </xf>
    <xf numFmtId="0" fontId="64" fillId="19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general" vertical="bottom"/>
    </xf>
    <xf numFmtId="0" fontId="65" fillId="36" borderId="10" applyAlignment="1" pivotButton="0" quotePrefix="0" xfId="0">
      <alignment wrapText="1"/>
    </xf>
    <xf numFmtId="0" fontId="54" fillId="11" borderId="6" applyAlignment="1" pivotButton="0" quotePrefix="0" xfId="0">
      <alignment horizontal="center" vertical="center" wrapText="1"/>
    </xf>
    <xf numFmtId="0" fontId="43" fillId="11" borderId="6" applyAlignment="1" pivotButton="0" quotePrefix="0" xfId="0">
      <alignment horizontal="center" vertical="center" wrapText="1"/>
    </xf>
    <xf numFmtId="0" fontId="66" fillId="11" borderId="6" applyAlignment="1" pivotButton="0" quotePrefix="0" xfId="0">
      <alignment horizontal="center" vertical="center" wrapText="1"/>
    </xf>
    <xf numFmtId="0" fontId="67" fillId="11" borderId="6" applyAlignment="1" pivotButton="0" quotePrefix="0" xfId="0">
      <alignment horizontal="center" vertical="center"/>
    </xf>
    <xf numFmtId="166" fontId="67" fillId="11" borderId="6" applyAlignment="1" pivotButton="0" quotePrefix="0" xfId="0">
      <alignment horizontal="center" vertical="center"/>
    </xf>
    <xf numFmtId="3" fontId="67" fillId="11" borderId="6" applyAlignment="1" pivotButton="0" quotePrefix="0" xfId="0">
      <alignment horizontal="center" vertical="center"/>
    </xf>
    <xf numFmtId="166" fontId="29" fillId="11" borderId="6" applyAlignment="1" pivotButton="0" quotePrefix="0" xfId="0">
      <alignment horizontal="center" vertical="center" wrapText="1"/>
    </xf>
    <xf numFmtId="166" fontId="68" fillId="11" borderId="6" applyAlignment="1" pivotButton="0" quotePrefix="0" xfId="0">
      <alignment horizontal="center" vertical="center"/>
    </xf>
    <xf numFmtId="165" fontId="69" fillId="11" borderId="6" applyAlignment="1" pivotButton="0" quotePrefix="0" xfId="0">
      <alignment horizontal="center" vertical="center" wrapText="1"/>
    </xf>
    <xf numFmtId="166" fontId="70" fillId="11" borderId="6" applyAlignment="1" pivotButton="0" quotePrefix="0" xfId="0">
      <alignment horizontal="center" vertical="center"/>
    </xf>
    <xf numFmtId="165" fontId="71" fillId="11" borderId="6" applyAlignment="1" pivotButton="0" quotePrefix="0" xfId="0">
      <alignment horizontal="center" vertical="center" wrapText="1"/>
    </xf>
    <xf numFmtId="167" fontId="29" fillId="11" borderId="6" applyAlignment="1" pivotButton="0" quotePrefix="0" xfId="0">
      <alignment horizontal="center" vertical="center" wrapText="1"/>
    </xf>
    <xf numFmtId="166" fontId="70" fillId="11" borderId="6" applyAlignment="1" pivotButton="0" quotePrefix="0" xfId="0">
      <alignment horizontal="center" vertical="center" wrapText="1"/>
    </xf>
    <xf numFmtId="166" fontId="72" fillId="11" borderId="6" applyAlignment="1" pivotButton="0" quotePrefix="0" xfId="0">
      <alignment horizontal="center" vertical="center" wrapText="1"/>
    </xf>
    <xf numFmtId="0" fontId="44" fillId="11" borderId="6" applyAlignment="1" pivotButton="0" quotePrefix="0" xfId="0">
      <alignment horizontal="left" vertical="top" wrapText="1"/>
    </xf>
    <xf numFmtId="0" fontId="6" fillId="33" borderId="5" applyAlignment="1" pivotButton="0" quotePrefix="0" xfId="0">
      <alignment horizontal="left" vertical="center" wrapText="1"/>
    </xf>
    <xf numFmtId="166" fontId="6" fillId="33" borderId="6" applyAlignment="1" pivotButton="0" quotePrefix="0" xfId="0">
      <alignment horizontal="center" vertical="center" wrapText="1"/>
    </xf>
    <xf numFmtId="0" fontId="73" fillId="33" borderId="5" applyAlignment="1" pivotButton="0" quotePrefix="0" xfId="0">
      <alignment horizontal="center" vertical="center" wrapText="1"/>
    </xf>
    <xf numFmtId="167" fontId="74" fillId="33" borderId="6" applyAlignment="1" pivotButton="0" quotePrefix="0" xfId="0">
      <alignment horizontal="center" vertical="center" wrapText="1"/>
    </xf>
    <xf numFmtId="166" fontId="74" fillId="33" borderId="6" applyAlignment="1" pivotButton="0" quotePrefix="0" xfId="0">
      <alignment horizontal="center" vertical="center" wrapText="1"/>
    </xf>
    <xf numFmtId="166" fontId="75" fillId="33" borderId="6" applyAlignment="1" pivotButton="0" quotePrefix="0" xfId="0">
      <alignment horizontal="center" vertical="center" wrapText="1"/>
    </xf>
    <xf numFmtId="0" fontId="76" fillId="33" borderId="6" applyAlignment="1" pivotButton="0" quotePrefix="0" xfId="0">
      <alignment horizontal="left" vertical="center" wrapText="1"/>
    </xf>
    <xf numFmtId="166" fontId="77" fillId="31" borderId="7" applyAlignment="1" pivotButton="0" quotePrefix="0" xfId="0">
      <alignment horizontal="center" vertical="center"/>
    </xf>
    <xf numFmtId="168" fontId="77" fillId="37" borderId="8" applyAlignment="1" pivotButton="0" quotePrefix="0" xfId="0">
      <alignment horizontal="center" vertical="center"/>
    </xf>
    <xf numFmtId="169" fontId="77" fillId="37" borderId="8" applyAlignment="1" pivotButton="0" quotePrefix="0" xfId="0">
      <alignment horizontal="center" vertical="center"/>
    </xf>
    <xf numFmtId="0" fontId="56" fillId="37" borderId="8" applyAlignment="1" pivotButton="0" quotePrefix="0" xfId="0">
      <alignment horizontal="center" vertical="center"/>
    </xf>
    <xf numFmtId="0" fontId="0" fillId="37" borderId="8" applyAlignment="1" pivotButton="0" quotePrefix="0" xfId="0">
      <alignment horizontal="general" vertical="bottom"/>
    </xf>
    <xf numFmtId="0" fontId="0" fillId="38" borderId="8" applyAlignment="1" pivotButton="0" quotePrefix="0" xfId="0">
      <alignment horizontal="general" vertical="bottom"/>
    </xf>
    <xf numFmtId="0" fontId="4" fillId="4" borderId="1" applyAlignment="1" pivotButton="0" quotePrefix="0" xfId="0">
      <alignment horizontal="left" vertical="center" wrapText="1"/>
    </xf>
    <xf numFmtId="0" fontId="6" fillId="3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4" fontId="78" fillId="9" borderId="1" applyAlignment="1" pivotButton="0" quotePrefix="0" xfId="0">
      <alignment horizontal="center" vertical="center" wrapText="1"/>
    </xf>
    <xf numFmtId="170" fontId="78" fillId="9" borderId="1" applyAlignment="1" pivotButton="0" quotePrefix="0" xfId="0">
      <alignment horizontal="center" vertical="center" wrapText="1"/>
    </xf>
    <xf numFmtId="0" fontId="79" fillId="39" borderId="1" applyAlignment="1" pivotButton="0" quotePrefix="0" xfId="0">
      <alignment horizontal="left" vertical="center" wrapText="1"/>
    </xf>
    <xf numFmtId="170" fontId="80" fillId="39" borderId="1" applyAlignment="1" pivotButton="0" quotePrefix="0" xfId="0">
      <alignment horizontal="center" vertical="center" wrapText="1"/>
    </xf>
    <xf numFmtId="170" fontId="79" fillId="39" borderId="1" applyAlignment="1" pivotButton="0" quotePrefix="0" xfId="0">
      <alignment horizontal="center" vertical="center" wrapText="1"/>
    </xf>
    <xf numFmtId="0" fontId="29" fillId="40" borderId="1" applyAlignment="1" pivotButton="0" quotePrefix="0" xfId="0">
      <alignment horizontal="left" vertical="center" wrapText="1"/>
    </xf>
    <xf numFmtId="0" fontId="10" fillId="40" borderId="1" applyAlignment="1" pivotButton="0" quotePrefix="0" xfId="0">
      <alignment horizontal="center" vertical="center" wrapText="1"/>
    </xf>
    <xf numFmtId="170" fontId="29" fillId="40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left" vertical="center" wrapText="1"/>
    </xf>
    <xf numFmtId="0" fontId="81" fillId="12" borderId="1" applyAlignment="1" pivotButton="0" quotePrefix="0" xfId="0">
      <alignment horizontal="left" vertical="center" wrapText="1"/>
    </xf>
    <xf numFmtId="170" fontId="10" fillId="12" borderId="1" applyAlignment="1" pivotButton="0" quotePrefix="0" xfId="0">
      <alignment horizontal="center" vertical="center" wrapText="1"/>
    </xf>
    <xf numFmtId="165" fontId="10" fillId="12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81" fillId="9" borderId="1" applyAlignment="1" pivotButton="0" quotePrefix="0" xfId="0">
      <alignment horizontal="left" vertical="center" wrapText="1"/>
    </xf>
    <xf numFmtId="170" fontId="10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left" vertical="center" wrapText="1"/>
    </xf>
    <xf numFmtId="0" fontId="81" fillId="11" borderId="1" applyAlignment="1" pivotButton="0" quotePrefix="0" xfId="0">
      <alignment horizontal="left" vertical="center" wrapText="1"/>
    </xf>
    <xf numFmtId="170" fontId="10" fillId="11" borderId="1" applyAlignment="1" pivotButton="0" quotePrefix="0" xfId="0">
      <alignment horizontal="center" vertical="center" wrapText="1"/>
    </xf>
    <xf numFmtId="165" fontId="10" fillId="11" borderId="1" applyAlignment="1" pivotButton="0" quotePrefix="0" xfId="0">
      <alignment horizontal="center" vertical="center" wrapText="1"/>
    </xf>
    <xf numFmtId="0" fontId="29" fillId="23" borderId="1" applyAlignment="1" pivotButton="0" quotePrefix="0" xfId="0">
      <alignment horizontal="left" vertical="center" wrapText="1"/>
    </xf>
    <xf numFmtId="0" fontId="81" fillId="23" borderId="1" applyAlignment="1" pivotButton="0" quotePrefix="0" xfId="0">
      <alignment horizontal="left" vertical="center" wrapText="1"/>
    </xf>
    <xf numFmtId="170" fontId="10" fillId="23" borderId="1" applyAlignment="1" pivotButton="0" quotePrefix="0" xfId="0">
      <alignment horizontal="center" vertical="center" wrapText="1"/>
    </xf>
    <xf numFmtId="165" fontId="10" fillId="23" borderId="1" applyAlignment="1" pivotButton="0" quotePrefix="0" xfId="0">
      <alignment horizontal="center" vertical="center" wrapText="1"/>
    </xf>
    <xf numFmtId="0" fontId="29" fillId="41" borderId="1" applyAlignment="1" pivotButton="0" quotePrefix="0" xfId="0">
      <alignment horizontal="left" vertical="center" wrapText="1"/>
    </xf>
    <xf numFmtId="0" fontId="81" fillId="41" borderId="1" applyAlignment="1" pivotButton="0" quotePrefix="0" xfId="0">
      <alignment horizontal="left" vertical="center" wrapText="1"/>
    </xf>
    <xf numFmtId="170" fontId="10" fillId="41" borderId="1" applyAlignment="1" pivotButton="0" quotePrefix="0" xfId="0">
      <alignment horizontal="center" vertical="center" wrapText="1"/>
    </xf>
    <xf numFmtId="165" fontId="10" fillId="41" borderId="1" applyAlignment="1" pivotButton="0" quotePrefix="0" xfId="0">
      <alignment horizontal="center" vertical="center" wrapText="1"/>
    </xf>
    <xf numFmtId="0" fontId="29" fillId="42" borderId="1" applyAlignment="1" pivotButton="0" quotePrefix="0" xfId="0">
      <alignment horizontal="left" vertical="center" wrapText="1"/>
    </xf>
    <xf numFmtId="0" fontId="81" fillId="42" borderId="1" applyAlignment="1" pivotButton="0" quotePrefix="0" xfId="0">
      <alignment horizontal="left" vertical="center" wrapText="1"/>
    </xf>
    <xf numFmtId="170" fontId="10" fillId="42" borderId="1" applyAlignment="1" pivotButton="0" quotePrefix="0" xfId="0">
      <alignment horizontal="center" vertical="center" wrapText="1"/>
    </xf>
    <xf numFmtId="165" fontId="10" fillId="42" borderId="1" applyAlignment="1" pivotButton="0" quotePrefix="0" xfId="0">
      <alignment horizontal="center" vertical="center" wrapText="1"/>
    </xf>
    <xf numFmtId="0" fontId="29" fillId="43" borderId="1" applyAlignment="1" pivotButton="0" quotePrefix="0" xfId="0">
      <alignment horizontal="left" vertical="center" wrapText="1"/>
    </xf>
    <xf numFmtId="0" fontId="81" fillId="43" borderId="1" applyAlignment="1" pivotButton="0" quotePrefix="0" xfId="0">
      <alignment horizontal="left" vertical="center" wrapText="1"/>
    </xf>
    <xf numFmtId="170" fontId="10" fillId="43" borderId="1" applyAlignment="1" pivotButton="0" quotePrefix="0" xfId="0">
      <alignment horizontal="center" vertical="center" wrapText="1"/>
    </xf>
    <xf numFmtId="165" fontId="10" fillId="43" borderId="1" applyAlignment="1" pivotButton="0" quotePrefix="0" xfId="0">
      <alignment horizontal="center" vertical="center" wrapText="1"/>
    </xf>
    <xf numFmtId="0" fontId="29" fillId="44" borderId="1" applyAlignment="1" pivotButton="0" quotePrefix="0" xfId="0">
      <alignment horizontal="left" vertical="center" wrapText="1"/>
    </xf>
    <xf numFmtId="0" fontId="81" fillId="44" borderId="1" applyAlignment="1" pivotButton="0" quotePrefix="0" xfId="0">
      <alignment horizontal="left" vertical="center" wrapText="1"/>
    </xf>
    <xf numFmtId="170" fontId="10" fillId="44" borderId="1" applyAlignment="1" pivotButton="0" quotePrefix="0" xfId="0">
      <alignment horizontal="center" vertical="center" wrapText="1"/>
    </xf>
    <xf numFmtId="165" fontId="10" fillId="44" borderId="1" applyAlignment="1" pivotButton="0" quotePrefix="0" xfId="0">
      <alignment horizontal="center" vertical="center" wrapText="1"/>
    </xf>
    <xf numFmtId="0" fontId="29" fillId="45" borderId="1" applyAlignment="1" pivotButton="0" quotePrefix="0" xfId="0">
      <alignment horizontal="left" vertical="center" wrapText="1"/>
    </xf>
    <xf numFmtId="0" fontId="81" fillId="45" borderId="1" applyAlignment="1" pivotButton="0" quotePrefix="0" xfId="0">
      <alignment horizontal="left" vertical="center" wrapText="1"/>
    </xf>
    <xf numFmtId="170" fontId="10" fillId="45" borderId="1" applyAlignment="1" pivotButton="0" quotePrefix="0" xfId="0">
      <alignment horizontal="center" vertical="center" wrapText="1"/>
    </xf>
    <xf numFmtId="165" fontId="10" fillId="45" borderId="1" applyAlignment="1" pivotButton="0" quotePrefix="0" xfId="0">
      <alignment horizontal="center" vertical="center" wrapText="1"/>
    </xf>
    <xf numFmtId="0" fontId="29" fillId="40" borderId="3" applyAlignment="1" pivotButton="0" quotePrefix="0" xfId="0">
      <alignment horizontal="left" vertical="center" wrapText="1"/>
    </xf>
    <xf numFmtId="4" fontId="10" fillId="12" borderId="1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left" vertical="center" wrapText="1"/>
    </xf>
    <xf numFmtId="0" fontId="29" fillId="46" borderId="1" applyAlignment="1" pivotButton="0" quotePrefix="0" xfId="0">
      <alignment horizontal="left" vertical="center" wrapText="1"/>
    </xf>
    <xf numFmtId="4" fontId="10" fillId="46" borderId="1" applyAlignment="1" pivotButton="0" quotePrefix="0" xfId="0">
      <alignment horizontal="center" vertical="center" wrapText="1"/>
    </xf>
    <xf numFmtId="170" fontId="82" fillId="46" borderId="1" applyAlignment="1" pivotButton="0" quotePrefix="0" xfId="0">
      <alignment horizontal="center" vertical="center" wrapText="1"/>
    </xf>
    <xf numFmtId="0" fontId="10" fillId="46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165" fontId="78" fillId="12" borderId="1" applyAlignment="1" pivotButton="0" quotePrefix="0" xfId="0">
      <alignment horizontal="center" vertical="center" wrapText="1"/>
    </xf>
    <xf numFmtId="4" fontId="83" fillId="12" borderId="1" applyAlignment="1" pivotButton="0" quotePrefix="0" xfId="0">
      <alignment horizontal="center" vertical="center" wrapText="1"/>
    </xf>
    <xf numFmtId="4" fontId="29" fillId="12" borderId="1" applyAlignment="1" pivotButton="0" quotePrefix="0" xfId="0">
      <alignment horizontal="center" vertical="center" wrapText="1"/>
    </xf>
    <xf numFmtId="0" fontId="84" fillId="11" borderId="1" applyAlignment="1" pivotButton="0" quotePrefix="0" xfId="0">
      <alignment horizontal="center" vertical="center" wrapText="1"/>
    </xf>
    <xf numFmtId="4" fontId="10" fillId="9" borderId="1" applyAlignment="1" pivotButton="0" quotePrefix="0" xfId="0">
      <alignment horizontal="center" vertical="center" wrapText="1"/>
    </xf>
    <xf numFmtId="165" fontId="78" fillId="9" borderId="1" applyAlignment="1" pivotButton="0" quotePrefix="0" xfId="0">
      <alignment horizontal="center" vertical="center" wrapText="1"/>
    </xf>
    <xf numFmtId="4" fontId="83" fillId="9" borderId="1" applyAlignment="1" pivotButton="0" quotePrefix="0" xfId="0">
      <alignment horizontal="center" vertical="center" wrapText="1"/>
    </xf>
    <xf numFmtId="4" fontId="29" fillId="9" borderId="1" applyAlignment="1" pivotButton="0" quotePrefix="0" xfId="0">
      <alignment horizontal="center" vertical="center" wrapText="1"/>
    </xf>
    <xf numFmtId="4" fontId="10" fillId="11" borderId="1" applyAlignment="1" pivotButton="0" quotePrefix="0" xfId="0">
      <alignment horizontal="center" vertical="center" wrapText="1"/>
    </xf>
    <xf numFmtId="165" fontId="78" fillId="11" borderId="1" applyAlignment="1" pivotButton="0" quotePrefix="0" xfId="0">
      <alignment horizontal="center" vertical="center" wrapText="1"/>
    </xf>
    <xf numFmtId="4" fontId="83" fillId="11" borderId="1" applyAlignment="1" pivotButton="0" quotePrefix="0" xfId="0">
      <alignment horizontal="center" vertical="center" wrapText="1"/>
    </xf>
    <xf numFmtId="4" fontId="29" fillId="11" borderId="1" applyAlignment="1" pivotButton="0" quotePrefix="0" xfId="0">
      <alignment horizontal="center" vertical="center" wrapText="1"/>
    </xf>
    <xf numFmtId="4" fontId="10" fillId="23" borderId="1" applyAlignment="1" pivotButton="0" quotePrefix="0" xfId="0">
      <alignment horizontal="center" vertical="center" wrapText="1"/>
    </xf>
    <xf numFmtId="165" fontId="78" fillId="23" borderId="1" applyAlignment="1" pivotButton="0" quotePrefix="0" xfId="0">
      <alignment horizontal="center" vertical="center" wrapText="1"/>
    </xf>
    <xf numFmtId="4" fontId="83" fillId="23" borderId="1" applyAlignment="1" pivotButton="0" quotePrefix="0" xfId="0">
      <alignment horizontal="center" vertical="center" wrapText="1"/>
    </xf>
    <xf numFmtId="4" fontId="29" fillId="23" borderId="1" applyAlignment="1" pivotButton="0" quotePrefix="0" xfId="0">
      <alignment horizontal="center" vertical="center" wrapText="1"/>
    </xf>
    <xf numFmtId="4" fontId="10" fillId="41" borderId="1" applyAlignment="1" pivotButton="0" quotePrefix="0" xfId="0">
      <alignment horizontal="center" vertical="center" wrapText="1"/>
    </xf>
    <xf numFmtId="165" fontId="78" fillId="41" borderId="1" applyAlignment="1" pivotButton="0" quotePrefix="0" xfId="0">
      <alignment horizontal="center" vertical="center" wrapText="1"/>
    </xf>
    <xf numFmtId="4" fontId="83" fillId="41" borderId="1" applyAlignment="1" pivotButton="0" quotePrefix="0" xfId="0">
      <alignment horizontal="center" vertical="center" wrapText="1"/>
    </xf>
    <xf numFmtId="4" fontId="85" fillId="41" borderId="1" applyAlignment="1" pivotButton="0" quotePrefix="0" xfId="0">
      <alignment horizontal="center" vertical="center" wrapText="1"/>
    </xf>
    <xf numFmtId="4" fontId="29" fillId="41" borderId="1" applyAlignment="1" pivotButton="0" quotePrefix="0" xfId="0">
      <alignment horizontal="center" vertical="center" wrapText="1"/>
    </xf>
    <xf numFmtId="4" fontId="10" fillId="42" borderId="1" applyAlignment="1" pivotButton="0" quotePrefix="0" xfId="0">
      <alignment horizontal="center" vertical="center" wrapText="1"/>
    </xf>
    <xf numFmtId="165" fontId="78" fillId="42" borderId="1" applyAlignment="1" pivotButton="0" quotePrefix="0" xfId="0">
      <alignment horizontal="center" vertical="center" wrapText="1"/>
    </xf>
    <xf numFmtId="4" fontId="83" fillId="42" borderId="1" applyAlignment="1" pivotButton="0" quotePrefix="0" xfId="0">
      <alignment horizontal="center" vertical="center" wrapText="1"/>
    </xf>
    <xf numFmtId="4" fontId="29" fillId="42" borderId="1" applyAlignment="1" pivotButton="0" quotePrefix="0" xfId="0">
      <alignment horizontal="center" vertical="center" wrapText="1"/>
    </xf>
    <xf numFmtId="4" fontId="10" fillId="43" borderId="1" applyAlignment="1" pivotButton="0" quotePrefix="0" xfId="0">
      <alignment horizontal="center" vertical="center" wrapText="1"/>
    </xf>
    <xf numFmtId="165" fontId="78" fillId="43" borderId="1" applyAlignment="1" pivotButton="0" quotePrefix="0" xfId="0">
      <alignment horizontal="center" vertical="center" wrapText="1"/>
    </xf>
    <xf numFmtId="4" fontId="83" fillId="43" borderId="1" applyAlignment="1" pivotButton="0" quotePrefix="0" xfId="0">
      <alignment horizontal="center" vertical="center" wrapText="1"/>
    </xf>
    <xf numFmtId="4" fontId="29" fillId="43" borderId="1" applyAlignment="1" pivotButton="0" quotePrefix="0" xfId="0">
      <alignment horizontal="center" vertical="center" wrapText="1"/>
    </xf>
    <xf numFmtId="4" fontId="10" fillId="44" borderId="1" applyAlignment="1" pivotButton="0" quotePrefix="0" xfId="0">
      <alignment horizontal="center" vertical="center" wrapText="1"/>
    </xf>
    <xf numFmtId="165" fontId="78" fillId="44" borderId="1" applyAlignment="1" pivotButton="0" quotePrefix="0" xfId="0">
      <alignment horizontal="center" vertical="center" wrapText="1"/>
    </xf>
    <xf numFmtId="4" fontId="83" fillId="44" borderId="1" applyAlignment="1" pivotButton="0" quotePrefix="0" xfId="0">
      <alignment horizontal="center" vertical="center" wrapText="1"/>
    </xf>
    <xf numFmtId="4" fontId="29" fillId="44" borderId="1" applyAlignment="1" pivotButton="0" quotePrefix="0" xfId="0">
      <alignment horizontal="center" vertical="center" wrapText="1"/>
    </xf>
    <xf numFmtId="4" fontId="10" fillId="45" borderId="1" applyAlignment="1" pivotButton="0" quotePrefix="0" xfId="0">
      <alignment horizontal="center" vertical="center" wrapText="1"/>
    </xf>
    <xf numFmtId="165" fontId="78" fillId="45" borderId="1" applyAlignment="1" pivotButton="0" quotePrefix="0" xfId="0">
      <alignment horizontal="center" vertical="center" wrapText="1"/>
    </xf>
    <xf numFmtId="4" fontId="83" fillId="45" borderId="1" applyAlignment="1" pivotButton="0" quotePrefix="0" xfId="0">
      <alignment horizontal="center" vertical="center" wrapText="1"/>
    </xf>
    <xf numFmtId="4" fontId="29" fillId="4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  <xf numFmtId="0" fontId="86" fillId="47" borderId="3" applyAlignment="1" pivotButton="0" quotePrefix="0" xfId="0">
      <alignment horizontal="center" vertical="center"/>
    </xf>
    <xf numFmtId="0" fontId="87" fillId="11" borderId="3" applyAlignment="1" pivotButton="0" quotePrefix="0" xfId="0">
      <alignment horizontal="left" vertical="center"/>
    </xf>
    <xf numFmtId="4" fontId="88" fillId="11" borderId="1" applyAlignment="1" pivotButton="0" quotePrefix="0" xfId="0">
      <alignment horizontal="center" vertical="center"/>
    </xf>
    <xf numFmtId="0" fontId="89" fillId="47" borderId="11" applyAlignment="1" pivotButton="0" quotePrefix="0" xfId="0">
      <alignment horizontal="left" vertical="center"/>
    </xf>
    <xf numFmtId="0" fontId="89" fillId="47" borderId="11" applyAlignment="1" pivotButton="0" quotePrefix="0" xfId="0">
      <alignment horizontal="center" vertical="center"/>
    </xf>
    <xf numFmtId="0" fontId="90" fillId="48" borderId="11" applyAlignment="1" pivotButton="0" quotePrefix="0" xfId="0">
      <alignment horizontal="left" vertical="center"/>
    </xf>
    <xf numFmtId="4" fontId="91" fillId="48" borderId="11" applyAlignment="1" pivotButton="0" quotePrefix="0" xfId="0">
      <alignment horizontal="right" vertical="center"/>
    </xf>
    <xf numFmtId="4" fontId="90" fillId="48" borderId="11" applyAlignment="1" pivotButton="0" quotePrefix="0" xfId="0">
      <alignment horizontal="right" vertical="center"/>
    </xf>
    <xf numFmtId="3" fontId="92" fillId="48" borderId="11" applyAlignment="1" pivotButton="0" quotePrefix="0" xfId="0">
      <alignment horizontal="right" vertical="center"/>
    </xf>
    <xf numFmtId="0" fontId="90" fillId="3" borderId="11" applyAlignment="1" pivotButton="0" quotePrefix="0" xfId="0">
      <alignment horizontal="left" vertical="center"/>
    </xf>
    <xf numFmtId="4" fontId="91" fillId="3" borderId="11" applyAlignment="1" pivotButton="0" quotePrefix="0" xfId="0">
      <alignment horizontal="right" vertical="center"/>
    </xf>
    <xf numFmtId="4" fontId="90" fillId="3" borderId="11" applyAlignment="1" pivotButton="0" quotePrefix="0" xfId="0">
      <alignment horizontal="right" vertical="center"/>
    </xf>
    <xf numFmtId="3" fontId="92" fillId="3" borderId="11" applyAlignment="1" pivotButton="0" quotePrefix="0" xfId="0">
      <alignment horizontal="right" vertical="center"/>
    </xf>
    <xf numFmtId="0" fontId="93" fillId="13" borderId="1" applyAlignment="1" pivotButton="0" quotePrefix="0" xfId="0">
      <alignment horizontal="left" vertical="center"/>
    </xf>
    <xf numFmtId="0" fontId="94" fillId="49" borderId="11" applyAlignment="1" pivotButton="0" quotePrefix="0" xfId="0">
      <alignment horizontal="left" vertical="center"/>
    </xf>
    <xf numFmtId="4" fontId="91" fillId="49" borderId="11" applyAlignment="1" pivotButton="0" quotePrefix="0" xfId="0">
      <alignment horizontal="right" vertical="center"/>
    </xf>
    <xf numFmtId="4" fontId="90" fillId="49" borderId="11" applyAlignment="1" pivotButton="0" quotePrefix="0" xfId="0">
      <alignment horizontal="right" vertical="center"/>
    </xf>
    <xf numFmtId="3" fontId="92" fillId="49" borderId="11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95" fillId="47" borderId="12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4" fontId="95" fillId="47" borderId="11" applyAlignment="1" pivotButton="0" quotePrefix="0" xfId="0">
      <alignment horizontal="right" vertical="center"/>
    </xf>
    <xf numFmtId="3" fontId="95" fillId="47" borderId="11" applyAlignment="1" pivotButton="0" quotePrefix="0" xfId="0">
      <alignment horizontal="right" vertical="center"/>
    </xf>
    <xf numFmtId="0" fontId="0" fillId="23" borderId="0" applyAlignment="1" pivotButton="0" quotePrefix="0" xfId="0">
      <alignment horizontal="general" vertical="bottom"/>
    </xf>
    <xf numFmtId="0" fontId="56" fillId="47" borderId="0" applyAlignment="1" pivotButton="0" quotePrefix="0" xfId="0">
      <alignment horizontal="left" vertical="center"/>
    </xf>
    <xf numFmtId="0" fontId="0" fillId="47" borderId="13" applyAlignment="1" pivotButton="0" quotePrefix="0" xfId="0">
      <alignment horizontal="general" vertical="bottom"/>
    </xf>
    <xf numFmtId="0" fontId="64" fillId="48" borderId="13" applyAlignment="1" pivotButton="0" quotePrefix="0" xfId="0">
      <alignment horizontal="left" vertical="center"/>
    </xf>
    <xf numFmtId="166" fontId="96" fillId="48" borderId="13" applyAlignment="1" pivotButton="0" quotePrefix="0" xfId="0">
      <alignment horizontal="left" vertical="center"/>
    </xf>
    <xf numFmtId="168" fontId="64" fillId="48" borderId="13" applyAlignment="1" pivotButton="0" quotePrefix="0" xfId="0">
      <alignment horizontal="center" vertical="center"/>
    </xf>
    <xf numFmtId="171" fontId="58" fillId="48" borderId="13" applyAlignment="1" pivotButton="0" quotePrefix="0" xfId="0">
      <alignment horizontal="center" vertical="center"/>
    </xf>
    <xf numFmtId="0" fontId="64" fillId="3" borderId="13" applyAlignment="1" pivotButton="0" quotePrefix="0" xfId="0">
      <alignment horizontal="left" vertical="center"/>
    </xf>
    <xf numFmtId="166" fontId="96" fillId="3" borderId="13" applyAlignment="1" pivotButton="0" quotePrefix="0" xfId="0">
      <alignment horizontal="left" vertical="center"/>
    </xf>
    <xf numFmtId="168" fontId="64" fillId="3" borderId="13" applyAlignment="1" pivotButton="0" quotePrefix="0" xfId="0">
      <alignment horizontal="center" vertical="center"/>
    </xf>
    <xf numFmtId="171" fontId="58" fillId="3" borderId="13" applyAlignment="1" pivotButton="0" quotePrefix="0" xfId="0">
      <alignment horizontal="center" vertical="center"/>
    </xf>
    <xf numFmtId="168" fontId="77" fillId="47" borderId="13" applyAlignment="1" pivotButton="0" quotePrefix="0" xfId="0">
      <alignment horizontal="center" vertical="center"/>
    </xf>
    <xf numFmtId="171" fontId="77" fillId="47" borderId="13" applyAlignment="1" pivotButton="0" quotePrefix="0" xfId="0">
      <alignment horizontal="center" vertical="center"/>
    </xf>
    <xf numFmtId="0" fontId="97" fillId="47" borderId="14" applyAlignment="1" pivotButton="0" quotePrefix="0" xfId="0">
      <alignment horizontal="left" vertical="center"/>
    </xf>
    <xf numFmtId="0" fontId="97" fillId="47" borderId="14" applyAlignment="1" pivotButton="0" quotePrefix="0" xfId="0">
      <alignment horizontal="center" vertical="center"/>
    </xf>
    <xf numFmtId="168" fontId="98" fillId="47" borderId="14" applyAlignment="1" pivotButton="0" quotePrefix="0" xfId="0">
      <alignment horizontal="center" vertical="center"/>
    </xf>
    <xf numFmtId="171" fontId="98" fillId="47" borderId="14" applyAlignment="1" pivotButton="0" quotePrefix="0" xfId="0">
      <alignment horizontal="center" vertical="center"/>
    </xf>
    <xf numFmtId="0" fontId="99" fillId="4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/>
    </xf>
    <xf numFmtId="0" fontId="6" fillId="50" borderId="3" applyAlignment="1" pivotButton="0" quotePrefix="0" xfId="0">
      <alignment horizontal="left" vertical="center" wrapText="1"/>
    </xf>
    <xf numFmtId="0" fontId="100" fillId="14" borderId="15" applyAlignment="1" pivotButton="0" quotePrefix="0" xfId="0">
      <alignment horizontal="left" vertical="center"/>
    </xf>
    <xf numFmtId="0" fontId="100" fillId="14" borderId="15" applyAlignment="1" pivotButton="0" quotePrefix="0" xfId="0">
      <alignment horizontal="center" vertical="center"/>
    </xf>
    <xf numFmtId="4" fontId="101" fillId="14" borderId="15" applyAlignment="1" pivotButton="0" quotePrefix="0" xfId="0">
      <alignment horizontal="right" vertical="center"/>
    </xf>
    <xf numFmtId="0" fontId="102" fillId="14" borderId="15" applyAlignment="1" pivotButton="0" quotePrefix="0" xfId="0">
      <alignment horizontal="center" vertical="center"/>
    </xf>
    <xf numFmtId="0" fontId="103" fillId="46" borderId="1" applyAlignment="1" pivotButton="0" quotePrefix="0" xfId="0">
      <alignment horizontal="left" vertical="center" wrapText="1"/>
    </xf>
    <xf numFmtId="170" fontId="78" fillId="46" borderId="1" applyAlignment="1" pivotButton="0" quotePrefix="0" xfId="0">
      <alignment horizontal="center" vertical="center" wrapText="1"/>
    </xf>
    <xf numFmtId="0" fontId="100" fillId="22" borderId="15" applyAlignment="1" pivotButton="0" quotePrefix="0" xfId="0">
      <alignment horizontal="left" vertical="center"/>
    </xf>
    <xf numFmtId="0" fontId="100" fillId="22" borderId="15" applyAlignment="1" pivotButton="0" quotePrefix="0" xfId="0">
      <alignment horizontal="center" vertical="center"/>
    </xf>
    <xf numFmtId="4" fontId="101" fillId="22" borderId="15" applyAlignment="1" pivotButton="0" quotePrefix="0" xfId="0">
      <alignment horizontal="right" vertical="center"/>
    </xf>
    <xf numFmtId="0" fontId="102" fillId="22" borderId="15" applyAlignment="1" pivotButton="0" quotePrefix="0" xfId="0">
      <alignment horizontal="center" vertical="center"/>
    </xf>
    <xf numFmtId="170" fontId="29" fillId="46" borderId="1" applyAlignment="1" pivotButton="0" quotePrefix="0" xfId="0">
      <alignment horizontal="center" vertical="center" wrapText="1"/>
    </xf>
    <xf numFmtId="0" fontId="104" fillId="14" borderId="15" applyAlignment="1" pivotButton="0" quotePrefix="0" xfId="0">
      <alignment horizontal="center" vertical="center"/>
    </xf>
    <xf numFmtId="0" fontId="103" fillId="12" borderId="1" applyAlignment="1" pivotButton="0" quotePrefix="0" xfId="0">
      <alignment horizontal="left" vertical="center" wrapText="1"/>
    </xf>
    <xf numFmtId="170" fontId="78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4" fillId="22" borderId="15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42" fillId="21" borderId="6" applyAlignment="1" pivotButton="0" quotePrefix="0" xfId="0">
      <alignment horizontal="center" vertical="center"/>
    </xf>
    <xf numFmtId="0" fontId="0" fillId="0" borderId="25" pivotButton="0" quotePrefix="0" xfId="0"/>
    <xf numFmtId="4" fontId="42" fillId="21" borderId="6" applyAlignment="1" pivotButton="0" quotePrefix="0" xfId="0">
      <alignment horizontal="right" vertical="center"/>
    </xf>
    <xf numFmtId="0" fontId="0" fillId="21" borderId="6" applyAlignment="1" pivotButton="0" quotePrefix="0" xfId="0">
      <alignment horizontal="general" vertical="bottom"/>
    </xf>
    <xf numFmtId="170" fontId="81" fillId="12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left" vertical="center" wrapText="1"/>
    </xf>
    <xf numFmtId="170" fontId="6" fillId="50" borderId="1" applyAlignment="1" pivotButton="0" quotePrefix="0" xfId="0">
      <alignment horizontal="center" vertical="center" wrapText="1"/>
    </xf>
    <xf numFmtId="0" fontId="6" fillId="51" borderId="3" applyAlignment="1" pivotButton="0" quotePrefix="0" xfId="0">
      <alignment horizontal="left" vertical="center" wrapText="1"/>
    </xf>
    <xf numFmtId="0" fontId="10" fillId="52" borderId="1" applyAlignment="1" pivotButton="0" quotePrefix="0" xfId="0">
      <alignment horizontal="left" vertical="center" wrapText="1"/>
    </xf>
    <xf numFmtId="170" fontId="10" fillId="52" borderId="1" applyAlignment="1" pivotButton="0" quotePrefix="0" xfId="0">
      <alignment horizontal="center" vertical="center" wrapText="1"/>
    </xf>
    <xf numFmtId="170" fontId="78" fillId="52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left" vertical="center" wrapText="1"/>
    </xf>
    <xf numFmtId="4" fontId="100" fillId="52" borderId="1" applyAlignment="1" pivotButton="0" quotePrefix="0" xfId="0">
      <alignment horizontal="center" vertical="center" wrapText="1"/>
    </xf>
    <xf numFmtId="4" fontId="5" fillId="52" borderId="1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left" vertical="center" wrapText="1"/>
    </xf>
    <xf numFmtId="0" fontId="81" fillId="32" borderId="1" applyAlignment="1" pivotButton="0" quotePrefix="0" xfId="0">
      <alignment horizontal="left" vertical="center" wrapText="1"/>
    </xf>
    <xf numFmtId="170" fontId="81" fillId="32" borderId="1" applyAlignment="1" pivotButton="0" quotePrefix="0" xfId="0">
      <alignment horizontal="center" vertical="center" wrapText="1"/>
    </xf>
    <xf numFmtId="170" fontId="6" fillId="7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170" fontId="6" fillId="20" borderId="1" applyAlignment="1" pivotButton="0" quotePrefix="0" xfId="0">
      <alignment horizontal="center" vertical="center" wrapText="1"/>
    </xf>
    <xf numFmtId="0" fontId="81" fillId="32" borderId="3" applyAlignment="1" pivotButton="0" quotePrefix="0" xfId="0">
      <alignment horizontal="center" vertical="center" wrapText="1"/>
    </xf>
    <xf numFmtId="0" fontId="41" fillId="4" borderId="3" applyAlignment="1" pivotButton="0" quotePrefix="0" xfId="0">
      <alignment horizontal="left" vertical="center" wrapText="1"/>
    </xf>
    <xf numFmtId="0" fontId="81" fillId="46" borderId="1" applyAlignment="1" pivotButton="0" quotePrefix="0" xfId="0">
      <alignment horizontal="left" vertical="center" wrapText="1"/>
    </xf>
    <xf numFmtId="0" fontId="10" fillId="50" borderId="1" applyAlignment="1" pivotButton="0" quotePrefix="0" xfId="0">
      <alignment horizontal="center" vertical="center" wrapText="1"/>
    </xf>
    <xf numFmtId="0" fontId="41" fillId="53" borderId="3" applyAlignment="1" pivotButton="0" quotePrefix="0" xfId="0">
      <alignment horizontal="left" vertical="center" wrapText="1"/>
    </xf>
    <xf numFmtId="0" fontId="10" fillId="54" borderId="1" applyAlignment="1" pivotButton="0" quotePrefix="0" xfId="0">
      <alignment horizontal="left" vertical="center" wrapText="1"/>
    </xf>
    <xf numFmtId="170" fontId="10" fillId="54" borderId="1" applyAlignment="1" pivotButton="0" quotePrefix="0" xfId="0">
      <alignment horizontal="center" vertical="center" wrapText="1"/>
    </xf>
    <xf numFmtId="0" fontId="81" fillId="54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170" fontId="6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wrapText="1"/>
    </xf>
    <xf numFmtId="0" fontId="23" fillId="18" borderId="1" applyAlignment="1" pivotButton="0" quotePrefix="0" xfId="0">
      <alignment wrapText="1"/>
    </xf>
    <xf numFmtId="0" fontId="25" fillId="18" borderId="1" applyAlignment="1" pivotButton="0" quotePrefix="0" xfId="0">
      <alignment wrapText="1"/>
    </xf>
    <xf numFmtId="0" fontId="37" fillId="17" borderId="0" applyAlignment="1" pivotButton="0" quotePrefix="0" xfId="0">
      <alignment wrapText="1"/>
    </xf>
    <xf numFmtId="0" fontId="38" fillId="29" borderId="0" applyAlignment="1" pivotButton="0" quotePrefix="0" xfId="0">
      <alignment wrapText="1"/>
    </xf>
    <xf numFmtId="0" fontId="39" fillId="8" borderId="0" applyAlignment="1" pivotButton="0" quotePrefix="0" xfId="0">
      <alignment wrapText="1"/>
    </xf>
    <xf numFmtId="0" fontId="6" fillId="31" borderId="0" applyAlignment="1" pivotButton="0" quotePrefix="0" xfId="0">
      <alignment wrapText="1"/>
    </xf>
    <xf numFmtId="0" fontId="65" fillId="36" borderId="10" applyAlignment="1" pivotButton="0" quotePrefix="0" xfId="0">
      <alignment vertical="top" wrapText="1"/>
    </xf>
    <xf numFmtId="0" fontId="0" fillId="10" borderId="8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b val="1"/>
        <color rgb="FF1B5E20"/>
        <sz val="11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B71C1C"/>
        <sz val="11"/>
      </font>
      <fill>
        <patternFill>
          <bgColor rgb="FFFFCDD2"/>
        </patternFill>
      </fill>
    </dxf>
    <dxf>
      <font>
        <name val="Arial"/>
        <charset val="1"/>
        <family val="0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ill>
        <patternFill>
          <bgColor rgb="FFD9EAD3"/>
        </patternFill>
      </fill>
    </dxf>
    <dxf>
      <fill>
        <patternFill>
          <bgColor rgb="FFFCE4D6"/>
        </patternFill>
      </fill>
    </dxf>
    <dxf>
      <font>
        <b val="1"/>
        <color rgb="FFCC0000"/>
      </font>
      <fill>
        <patternFill>
          <bgColor rgb="FFFFCCCC"/>
        </patternFill>
      </fill>
    </dxf>
    <dxf>
      <font>
        <b val="1"/>
        <color rgb="FF006600"/>
      </font>
      <fill>
        <patternFill>
          <bgColor rgb="FFCCFFCC"/>
        </patternFill>
      </fill>
    </dxf>
    <dxf>
      <font>
        <name val="Sarabun"/>
        <charset val="1"/>
        <family val="0"/>
        <b val="1"/>
        <color rgb="FF1B5E20"/>
        <sz val="11"/>
      </font>
      <fill>
        <patternFill>
          <bgColor rgb="FFE8F5E9"/>
        </patternFill>
      </fill>
    </dxf>
    <dxf>
      <font>
        <name val="Sarabun"/>
        <charset val="1"/>
        <family val="0"/>
        <b val="1"/>
        <color rgb="FFC62828"/>
        <sz val="11"/>
      </font>
      <fill>
        <patternFill>
          <bgColor rgb="FFFFEBEE"/>
        </patternFill>
      </fill>
    </dxf>
    <dxf>
      <font>
        <name val="Sarabun"/>
        <charset val="1"/>
        <family val="0"/>
        <b val="1"/>
        <color rgb="FFFFFFFF"/>
        <sz val="12"/>
      </font>
      <fill>
        <patternFill>
          <bgColor rgb="FF2E7D32"/>
        </patternFill>
      </fill>
    </dxf>
    <dxf>
      <font>
        <name val="Sarabun"/>
        <charset val="1"/>
        <family val="0"/>
        <b val="1"/>
        <color rgb="FFFFFFFF"/>
        <sz val="12"/>
      </font>
      <fill>
        <patternFill>
          <bgColor rgb="FFB71C1C"/>
        </patternFill>
      </fill>
    </dxf>
    <dxf>
      <font>
        <name val="Sarabun"/>
        <charset val="1"/>
        <family val="0"/>
        <color rgb="FF1B5E20"/>
        <sz val="11"/>
      </font>
      <fill>
        <patternFill>
          <bgColor rgb="FFE8F5E9"/>
        </patternFill>
      </fill>
    </dxf>
    <dxf>
      <font>
        <name val="Sarabun"/>
        <charset val="1"/>
        <family val="0"/>
        <color rgb="FFC62828"/>
        <sz val="11"/>
      </font>
      <fill>
        <patternFill>
          <bgColor rgb="FFFFEBEE"/>
        </patternFill>
      </fill>
    </dxf>
    <dxf>
      <font>
        <name val="Arial"/>
        <charset val="1"/>
        <family val="0"/>
        <strike val="1"/>
        <color rgb="FFB0BEC5"/>
        <sz val="10"/>
      </font>
    </dxf>
    <dxf>
      <font>
        <name val="Arial"/>
        <charset val="1"/>
        <family val="0"/>
        <b val="1"/>
        <color rgb="FF2E7D32"/>
        <sz val="13"/>
      </font>
    </dxf>
  </dxfs>
  <colors>
    <indexedColors>
      <rgbColor rgb="FF000000"/>
      <rgbColor rgb="FFFFFFFF"/>
      <rgbColor rgb="FFFF0000"/>
      <rgbColor rgb="FFF1F8E9"/>
      <rgbColor rgb="FF0000FF"/>
      <rgbColor rgb="FFFDE7D7"/>
      <rgbColor rgb="FFF4F4FC"/>
      <rgbColor rgb="FFE8EAF6"/>
      <rgbColor rgb="FFC10000"/>
      <rgbColor rgb="FF006600"/>
      <rgbColor rgb="FF1B5E20"/>
      <rgbColor rgb="FF357C3B"/>
      <rgbColor rgb="FFFFF9F6"/>
      <rgbColor rgb="FF00703C"/>
      <rgbColor rgb="FFB4BEC5"/>
      <rgbColor rgb="FF2E7D32"/>
      <rgbColor rgb="FFB2EBF2"/>
      <rgbColor rgb="FF732EA2"/>
      <rgbColor rgb="FFFEF8C8"/>
      <rgbColor rgb="FFE3F2FD"/>
      <rgbColor rgb="FF305924"/>
      <rgbColor rgb="FFF3E5F5"/>
      <rgbColor rgb="FF1073CF"/>
      <rgbColor rgb="FFE8D5F5"/>
      <rgbColor rgb="FF175E1A"/>
      <rgbColor rgb="FFFFF5F2"/>
      <rgbColor rgb="FFFFF4DE"/>
      <rgbColor rgb="FFEBF3FC"/>
      <rgbColor rgb="FFF9FBF9"/>
      <rgbColor rgb="FFF0FFF2"/>
      <rgbColor rgb="FF187430"/>
      <rgbColor rgb="FFFEFFF9"/>
      <rgbColor rgb="FFEDE7F6"/>
      <rgbColor rgb="FFE8F5E9"/>
      <rgbColor rgb="FFD3F4D0"/>
      <rgbColor rgb="FFFEF1CE"/>
      <rgbColor rgb="FF9EBBED"/>
      <rgbColor rgb="FFFECBD0"/>
      <rgbColor rgb="FFD3E2D3"/>
      <rgbColor rgb="FFFFC0AF"/>
      <rgbColor rgb="FF1E4F7C"/>
      <rgbColor rgb="FFDEEAF4"/>
      <rgbColor rgb="FFE2EFDA"/>
      <rgbColor rgb="FFD9EAD3"/>
      <rgbColor rgb="FFFFEBED"/>
      <rgbColor rgb="FFDE5C01"/>
      <rgbColor rgb="FF5D7060"/>
      <rgbColor rgb="FFA2AAA1"/>
      <rgbColor rgb="FF0E265D"/>
      <rgbColor rgb="FF357C3D"/>
      <rgbColor rgb="FF0F481F"/>
      <rgbColor rgb="FF1C4A3C"/>
      <rgbColor rgb="FFB43505"/>
      <rgbColor rgb="FFC21E1E"/>
      <rgbColor rgb="FF261989"/>
      <rgbColor rgb="FF1B3E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สัดส่วนพอร์ตหุ้น 21 ตัว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พอร์ตหุ้นรายตัว!$H$4</f>
              <strCache>
                <ptCount val="1"/>
                <pt idx="0">
                  <v>มูลค่า (THB)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9a9a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9bd5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ad4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6447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dc3e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ff7f7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c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92d05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00b0f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7030a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f4b18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bfbfb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ffd96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2f75b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548235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c55a1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833c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2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0"/>
            <showSerName val="0"/>
            <showPercent val="1"/>
            <showLeaderLines val="1"/>
          </dLbls>
          <cat>
            <strRef>
              <f>พอร์ตหุ้นรายตัว!$B$5:$B$25</f>
              <strCache>
                <ptCount val="21"/>
                <pt idx="0">
                  <v>NVDA</v>
                </pt>
                <pt idx="1">
                  <v>MSFT</v>
                </pt>
                <pt idx="2">
                  <v>RXRX</v>
                </pt>
                <pt idx="3">
                  <v>ORCL</v>
                </pt>
                <pt idx="4">
                  <v>AMZN</v>
                </pt>
                <pt idx="5">
                  <v>AVGO</v>
                </pt>
                <pt idx="6">
                  <v>PLTR</v>
                </pt>
                <pt idx="7">
                  <v>GOOGL</v>
                </pt>
                <pt idx="8">
                  <v>GOOG</v>
                </pt>
                <pt idx="9">
                  <v>TSLA</v>
                </pt>
                <pt idx="10">
                  <v>AMD</v>
                </pt>
                <pt idx="11">
                  <v>META</v>
                </pt>
                <pt idx="12">
                  <v>AAPL</v>
                </pt>
                <pt idx="13">
                  <v>ASML</v>
                </pt>
                <pt idx="14">
                  <v>LLY</v>
                </pt>
                <pt idx="15">
                  <v>TSM</v>
                </pt>
                <pt idx="16">
                  <v>RKLB</v>
                </pt>
                <pt idx="17">
                  <v>EOSE</v>
                </pt>
                <pt idx="18">
                  <v>HOOD</v>
                </pt>
                <pt idx="19">
                  <v>GOLD</v>
                </pt>
                <pt idx="20">
                  <v>None</v>
                </pt>
              </strCache>
            </strRef>
          </cat>
          <val>
            <numRef>
              <f>พอร์ตหุ้นรายตัว!$H$5:$H$25</f>
              <numCache>
                <formatCode>#,##0.00</formatCode>
                <ptCount val="21"/>
                <pt idx="0">
                  <v>36840.2917</v>
                </pt>
                <pt idx="1">
                  <v>26887.9471</v>
                </pt>
                <pt idx="2">
                  <v>7191.9477</v>
                </pt>
                <pt idx="3">
                  <v>20783.6069</v>
                </pt>
                <pt idx="4">
                  <v>15558.8386</v>
                </pt>
                <pt idx="5">
                  <v>12427.1832</v>
                </pt>
                <pt idx="6">
                  <v>12747.4141</v>
                </pt>
                <pt idx="7">
                  <v>9961.176299999999</v>
                </pt>
                <pt idx="8">
                  <v>8641.000700000001</v>
                </pt>
                <pt idx="9">
                  <v>6764.428</v>
                </pt>
                <pt idx="10">
                  <v>7027.7435</v>
                </pt>
                <pt idx="11">
                  <v>4988.6021</v>
                </pt>
                <pt idx="12">
                  <v>3101.5622</v>
                </pt>
                <pt idx="13">
                  <v>2843.8074</v>
                </pt>
                <pt idx="14">
                  <v>2832.0318</v>
                </pt>
                <pt idx="15">
                  <v>2210.8689</v>
                </pt>
                <pt idx="16">
                  <v>1025.1314</v>
                </pt>
                <pt idx="17">
                  <v>885.4597</v>
                </pt>
                <pt idx="18">
                  <v>866.8150000000001</v>
                </pt>
                <pt idx="19">
                  <v>46456.45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สัดส่วนการลงทุน ณ ปัจจุบัน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ลงทุน!$C$19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9a9a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9bd5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ad4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6447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dc3e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0"/>
            <showSerName val="0"/>
            <showPercent val="1"/>
            <showLeaderLines val="1"/>
          </dLbls>
          <cat>
            <strRef>
              <f>ลงทุน!$A$20:$A$28</f>
              <strCache>
                <ptCount val="9"/>
                <pt idx="0">
                  <v>กลุ่ม</v>
                </pt>
                <pt idx="1">
                  <v>🏦 เงินสำรอง</v>
                </pt>
                <pt idx="2">
                  <v>📈 Core</v>
                </pt>
                <pt idx="3">
                  <v>🎯 Satellite</v>
                </pt>
                <pt idx="4">
                  <v>🔬 Thematic</v>
                </pt>
                <pt idx="5">
                  <v>💰 Dividend</v>
                </pt>
                <pt idx="6">
                  <v>🌍 หุ้นนอกเมกา</v>
                </pt>
                <pt idx="7">
                  <v>🥇 Gold</v>
                </pt>
                <pt idx="8">
                  <v>₿ Bitcoin</v>
                </pt>
              </strCache>
            </strRef>
          </cat>
          <val>
            <numRef>
              <f>ลงทุน!$C$20:$C$28</f>
              <numCache>
                <formatCode>#,##0.00;\(#,##0.00\);\-</formatCode>
                <ptCount val="9"/>
                <pt idx="1">
                  <v>100000</v>
                </pt>
                <pt idx="2">
                  <v>282565.68</v>
                </pt>
                <pt idx="3">
                  <v>207885.22</v>
                </pt>
                <pt idx="4">
                  <v>11264.88</v>
                </pt>
                <pt idx="5">
                  <v>45756.39</v>
                </pt>
                <pt idx="6">
                  <v>7331.18</v>
                </pt>
                <pt idx="7">
                  <v>46456.45</v>
                </pt>
                <pt idx="8">
                  <v>12525.14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17</col>
      <colOff>0</colOff>
      <row>0</row>
      <rowOff>0</rowOff>
    </from>
    <to>
      <col>31</col>
      <colOff>71640</colOff>
      <row>10</row>
      <rowOff>640080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11</col>
      <colOff>0</colOff>
      <row>12</row>
      <rowOff>0</rowOff>
    </from>
    <to>
      <col>22</col>
      <colOff>461160</colOff>
      <row>31</row>
      <rowOff>113760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1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35" customWidth="1" style="349" min="1" max="1"/>
    <col width="12" customWidth="1" style="349" min="2" max="6"/>
    <col width="35" customWidth="1" style="349" min="7" max="8"/>
    <col width="80" customWidth="1" style="349" min="9" max="9"/>
    <col width="16" customWidth="1" style="349" min="10" max="10"/>
    <col width="13" customWidth="1" style="349" min="11" max="13"/>
    <col width="9" customWidth="1" style="349" min="14" max="14"/>
    <col width="12" customWidth="1" style="349" min="15" max="15"/>
  </cols>
  <sheetData>
    <row r="1" ht="27.75" customHeight="1" s="350">
      <c r="A1" s="351" t="inlineStr">
        <is>
          <t>📈  พอร์ตหุ้นรายตัว — ติดตามกำไร/ขาดทุน &amp; มูลค่าพอร์ต</t>
        </is>
      </c>
      <c r="B1" s="352" t="n"/>
      <c r="C1" s="352" t="n"/>
      <c r="D1" s="352" t="n"/>
      <c r="E1" s="352" t="n"/>
      <c r="F1" s="352" t="n"/>
      <c r="G1" s="352" t="n"/>
      <c r="H1" s="352" t="n"/>
      <c r="I1" s="352" t="n"/>
      <c r="J1" s="353" t="n"/>
      <c r="K1" s="354" t="n"/>
      <c r="L1" s="355" t="n"/>
      <c r="M1" s="355" t="n"/>
      <c r="N1" s="356" t="inlineStr">
        <is>
          <t>📊  สัดส่วนพอร์ต</t>
        </is>
      </c>
      <c r="O1" s="353" t="n"/>
    </row>
    <row r="2" ht="21.75" customHeight="1" s="350">
      <c r="A2" s="357" t="inlineStr">
        <is>
          <t xml:space="preserve">  💡 อัปเดตคอลัมน์ D (ราคาปัจจุบัน) และ G (มูลค่า USD) เมื่อราคาเปลี่ยน</t>
        </is>
      </c>
      <c r="F2" s="358" t="inlineStr">
        <is>
          <t>💱 USD/THB</t>
        </is>
      </c>
      <c r="G2" s="359" t="n">
        <v>33.2</v>
      </c>
      <c r="H2" s="360" t="n"/>
      <c r="K2" s="354" t="n"/>
      <c r="L2" s="354" t="n"/>
      <c r="M2" s="354" t="n"/>
      <c r="N2" s="354" t="n"/>
      <c r="O2" s="354" t="n"/>
    </row>
    <row r="3" ht="6" customHeight="1" s="350">
      <c r="K3" s="354" t="n"/>
      <c r="L3" s="354" t="n"/>
      <c r="M3" s="354" t="n"/>
      <c r="N3" s="354" t="n"/>
      <c r="O3" s="354" t="n"/>
    </row>
    <row r="4" ht="27.75" customHeight="1" s="350">
      <c r="A4" s="361" t="inlineStr">
        <is>
          <t>#</t>
        </is>
      </c>
      <c r="B4" s="361" t="inlineStr">
        <is>
          <t>หุ้น</t>
        </is>
      </c>
      <c r="C4" s="361" t="inlineStr">
        <is>
          <t>ต้นทุน/หุ้น (USD)</t>
        </is>
      </c>
      <c r="D4" s="361" t="inlineStr">
        <is>
          <t>ราคาปัจจุบัน (USD)</t>
        </is>
      </c>
      <c r="E4" s="361" t="inlineStr">
        <is>
          <t>กำไร/ขาดทุน (USD)</t>
        </is>
      </c>
      <c r="F4" s="362" t="inlineStr">
        <is>
          <t>กำไร/ขาดทุน %</t>
        </is>
      </c>
      <c r="G4" s="361" t="inlineStr">
        <is>
          <t>มูลค่า (USD)</t>
        </is>
      </c>
      <c r="H4" s="361" t="inlineStr">
        <is>
          <t>มูลค่า (THB)</t>
        </is>
      </c>
      <c r="I4" s="361" t="inlineStr">
        <is>
          <t>🤖 AI Advice</t>
        </is>
      </c>
      <c r="J4" s="361" t="inlineStr">
        <is>
          <t>ราคาขาย (USD) 💡</t>
        </is>
      </c>
      <c r="K4" s="363" t="inlineStr">
        <is>
          <t>📅 อัพเดท</t>
        </is>
      </c>
      <c r="L4" s="354" t="n"/>
      <c r="M4" s="354" t="n"/>
      <c r="N4" s="364" t="inlineStr">
        <is>
          <t>หุ้น</t>
        </is>
      </c>
      <c r="O4" s="364" t="inlineStr">
        <is>
          <t>สัดส่วน %</t>
        </is>
      </c>
    </row>
    <row r="5" ht="97.5" customHeight="1" s="350">
      <c r="A5" s="365" t="n">
        <v>1</v>
      </c>
      <c r="B5" s="366" t="inlineStr">
        <is>
          <t>NVDA</t>
        </is>
      </c>
      <c r="C5" s="367" t="n">
        <v>176.6515</v>
      </c>
      <c r="D5" s="367" t="n">
        <v>174.9</v>
      </c>
      <c r="E5" s="368">
        <f>IF(D5&gt;0,G5*(D5-C5)/D5,0)</f>
        <v/>
      </c>
      <c r="F5" s="369">
        <f>IF(C5&gt;0,(D5-C5)/C5,0)</f>
        <v/>
      </c>
      <c r="G5" s="370" t="n">
        <v>1126.27</v>
      </c>
      <c r="H5" s="371">
        <f>G5*$G$2</f>
        <v/>
      </c>
      <c r="I5" s="372" t="inlineStr">
        <is>
          <t>[ถือต่อ]</t>
        </is>
      </c>
      <c r="J5" s="373" t="n"/>
      <c r="K5" s="374" t="inlineStr">
        <is>
          <t>🆕 21 มี.ค.</t>
        </is>
      </c>
      <c r="L5" s="354" t="n"/>
      <c r="M5" s="354" t="n"/>
      <c r="N5" s="375">
        <f>B5</f>
        <v/>
      </c>
      <c r="O5" s="376">
        <f>H5/SUM($H$5:$H$24)</f>
        <v/>
      </c>
    </row>
    <row r="6" ht="82.5" customHeight="1" s="350">
      <c r="A6" s="377" t="n">
        <v>2</v>
      </c>
      <c r="B6" s="378" t="inlineStr">
        <is>
          <t>MSFT</t>
        </is>
      </c>
      <c r="C6" s="379" t="n">
        <v>454.4208</v>
      </c>
      <c r="D6" s="379" t="n">
        <v>389</v>
      </c>
      <c r="E6" s="368">
        <f>IF(D6&gt;0,G6*(D6-C6)/D6,0)</f>
        <v/>
      </c>
      <c r="F6" s="380">
        <f>IF(C6&gt;0,(D6-C6)/C6,0)</f>
        <v/>
      </c>
      <c r="G6" s="370" t="n">
        <v>822.01</v>
      </c>
      <c r="H6" s="371">
        <f>G6*$G$2</f>
        <v/>
      </c>
      <c r="I6" s="703" t="inlineStr">
        <is>
          <t>จับตา</t>
        </is>
      </c>
      <c r="J6" s="373" t="n"/>
      <c r="K6" s="374" t="inlineStr">
        <is>
          <t>🆕 21 มี.ค.</t>
        </is>
      </c>
      <c r="L6" s="354" t="n"/>
      <c r="M6" s="354" t="n"/>
      <c r="N6" s="382">
        <f>B6</f>
        <v/>
      </c>
      <c r="O6" s="383">
        <f>H6/SUM($H$5:$H$24)</f>
        <v/>
      </c>
    </row>
    <row r="7" ht="127.5" customHeight="1" s="350">
      <c r="A7" s="384" t="n">
        <v>3</v>
      </c>
      <c r="B7" s="385" t="inlineStr">
        <is>
          <t>RXRX</t>
        </is>
      </c>
      <c r="C7" s="386" t="n">
        <v>4.1875</v>
      </c>
      <c r="D7" s="386" t="n">
        <v>3.21</v>
      </c>
      <c r="E7" s="368">
        <f>IF(D7&gt;0,G7*(D7-C7)/D7,0)</f>
        <v/>
      </c>
      <c r="F7" s="387">
        <f>IF(C7&gt;0,(D7-C7)/C7,0)</f>
        <v/>
      </c>
      <c r="G7" s="370" t="n">
        <v>219.87</v>
      </c>
      <c r="H7" s="371">
        <f>G7*$G$2</f>
        <v/>
      </c>
      <c r="I7" s="704" t="inlineStr">
        <is>
          <t>Reduce</t>
        </is>
      </c>
      <c r="J7" s="373" t="n">
        <v>3.38</v>
      </c>
      <c r="K7" s="389" t="inlineStr">
        <is>
          <t>🆕 21 มี.ค.</t>
        </is>
      </c>
      <c r="L7" s="354" t="n"/>
      <c r="M7" s="354" t="n"/>
      <c r="N7" s="375">
        <f>B7</f>
        <v/>
      </c>
      <c r="O7" s="376">
        <f>H7/SUM($H$5:$H$24)</f>
        <v/>
      </c>
    </row>
    <row r="8" ht="52.5" customHeight="1" s="350">
      <c r="A8" s="377" t="n">
        <v>4</v>
      </c>
      <c r="B8" s="378" t="inlineStr">
        <is>
          <t>ORCL</t>
        </is>
      </c>
      <c r="C8" s="379" t="n">
        <v>176.4656</v>
      </c>
      <c r="D8" s="379" t="n">
        <v>150.77</v>
      </c>
      <c r="E8" s="368">
        <f>IF(D8&gt;0,G8*(D8-C8)/D8,0)</f>
        <v/>
      </c>
      <c r="F8" s="380">
        <f>IF(C8&gt;0,(D8-C8)/C8,0)</f>
        <v/>
      </c>
      <c r="G8" s="370" t="n">
        <v>635.39</v>
      </c>
      <c r="H8" s="371">
        <f>G8*$G$2</f>
        <v/>
      </c>
      <c r="I8" s="372" t="inlineStr">
        <is>
          <t>[ถือต่อ]
RSI(1D)=54.0 Neutral ✅ | RSI(1H)=51.0 Neutral ✅
EMA50(1D)=$150.50 | EMA200(1D)=$144.00
ราคาปัจจุบัน เหนือ EMA200(1D) ✅ | P&amp;L -14.6%
📅 อัปเดต 21 มี.ค. — ข้อมูลอัตโนมัติ</t>
        </is>
      </c>
      <c r="J8" s="373" t="n"/>
      <c r="K8" s="391" t="inlineStr">
        <is>
          <t>🆕 21 มี.ค.</t>
        </is>
      </c>
      <c r="L8" s="354" t="n"/>
      <c r="M8" s="354" t="n"/>
      <c r="N8" s="382">
        <f>B8</f>
        <v/>
      </c>
      <c r="O8" s="383">
        <f>H8/SUM($H$5:$H$24)</f>
        <v/>
      </c>
    </row>
    <row r="9" ht="52.5" customHeight="1" s="350">
      <c r="A9" s="384" t="n">
        <v>5</v>
      </c>
      <c r="B9" s="385" t="inlineStr">
        <is>
          <t>AMZN</t>
        </is>
      </c>
      <c r="C9" s="386" t="n">
        <v>213.9143</v>
      </c>
      <c r="D9" s="386" t="n">
        <v>205.37</v>
      </c>
      <c r="E9" s="368">
        <f>IF(D9&gt;0,G9*(D9-C9)/D9,0)</f>
        <v/>
      </c>
      <c r="F9" s="387">
        <f>IF(C9&gt;0,(D9-C9)/C9,0)</f>
        <v/>
      </c>
      <c r="G9" s="370" t="n">
        <v>475.66</v>
      </c>
      <c r="H9" s="371">
        <f>G9*$G$2</f>
        <v/>
      </c>
      <c r="I9" s="372" t="inlineStr">
        <is>
          <t>[ถือต่อ]
RSI(1D)=53.0 Neutral ✅ | RSI(1H)=50.0 Neutral ✅
EMA50(1D)=$206.00 | EMA200(1D)=$198.00
ราคาปัจจุบัน เหนือ EMA200(1D) ✅ | P&amp;L -4.0%
📅 อัปเดต 21 มี.ค. — ข้อมูลอัตโนมัติ</t>
        </is>
      </c>
      <c r="J9" s="373" t="n"/>
      <c r="K9" s="391" t="inlineStr">
        <is>
          <t>🆕 21 มี.ค.</t>
        </is>
      </c>
      <c r="L9" s="354" t="n"/>
      <c r="M9" s="354" t="n"/>
      <c r="N9" s="375">
        <f>B9</f>
        <v/>
      </c>
      <c r="O9" s="376">
        <f>H9/SUM($H$5:$H$24)</f>
        <v/>
      </c>
    </row>
    <row r="10" ht="52.5" customHeight="1" s="350">
      <c r="A10" s="377" t="n">
        <v>6</v>
      </c>
      <c r="B10" s="378" t="inlineStr">
        <is>
          <t>AVGO</t>
        </is>
      </c>
      <c r="C10" s="379" t="n">
        <v>334.6077</v>
      </c>
      <c r="D10" s="379" t="n">
        <v>315.65</v>
      </c>
      <c r="E10" s="368">
        <f>IF(D10&gt;0,G10*(D10-C10)/D10,0)</f>
        <v/>
      </c>
      <c r="F10" s="380">
        <f>IF(C10&gt;0,(D10-C10)/C10,0)</f>
        <v/>
      </c>
      <c r="G10" s="370" t="n">
        <v>379.92</v>
      </c>
      <c r="H10" s="371">
        <f>G10*$G$2</f>
        <v/>
      </c>
      <c r="I10" s="372" t="inlineStr">
        <is>
          <t>[ถือต่อ]
RSI(1D)=55.0 Neutral ✅ | RSI(1H)=52.0 Neutral ✅
EMA50(1D)=$316.00 | EMA200(1D)=$305.00
ราคาปัจจุบัน เหนือ EMA200(1D) ✅ | P&amp;L -5.7%
📅 อัปเดต 21 มี.ค. — ข้อมูลอัตโนมัติ</t>
        </is>
      </c>
      <c r="J10" s="373" t="n"/>
      <c r="K10" s="391" t="inlineStr">
        <is>
          <t>🆕 21 มี.ค.</t>
        </is>
      </c>
      <c r="L10" s="354" t="n"/>
      <c r="M10" s="354" t="n"/>
      <c r="N10" s="382">
        <f>B10</f>
        <v/>
      </c>
      <c r="O10" s="383">
        <f>H10/SUM($H$5:$H$24)</f>
        <v/>
      </c>
    </row>
    <row r="11" ht="82.5" customHeight="1" s="350">
      <c r="A11" s="365" t="n">
        <v>7</v>
      </c>
      <c r="B11" s="366" t="inlineStr">
        <is>
          <t>PLTR</t>
        </is>
      </c>
      <c r="C11" s="367" t="n">
        <v>145.7341</v>
      </c>
      <c r="D11" s="367" t="n">
        <v>154</v>
      </c>
      <c r="E11" s="368">
        <f>IF(D11&gt;0,G11*(D11-C11)/D11,0)</f>
        <v/>
      </c>
      <c r="F11" s="369">
        <f>IF(C11&gt;0,(D11-C11)/C11,0)</f>
        <v/>
      </c>
      <c r="G11" s="370" t="n">
        <v>389.71</v>
      </c>
      <c r="H11" s="371">
        <f>G11*$G$2</f>
        <v/>
      </c>
      <c r="I11" s="372" t="inlineStr">
        <is>
          <t>[ถือต่อ/เพิ่ม]</t>
        </is>
      </c>
      <c r="J11" s="373" t="n"/>
      <c r="K11" s="374" t="inlineStr">
        <is>
          <t>🆕 21 มี.ค.</t>
        </is>
      </c>
      <c r="L11" s="354" t="n"/>
      <c r="M11" s="354" t="n"/>
      <c r="N11" s="375">
        <f>B11</f>
        <v/>
      </c>
      <c r="O11" s="376">
        <f>H11/SUM($H$5:$H$24)</f>
        <v/>
      </c>
    </row>
    <row r="12" ht="52.5" customHeight="1" s="350">
      <c r="A12" s="377" t="n">
        <v>8</v>
      </c>
      <c r="B12" s="378" t="inlineStr">
        <is>
          <t>GOOGL</t>
        </is>
      </c>
      <c r="C12" s="379" t="n">
        <v>316.3618</v>
      </c>
      <c r="D12" s="379" t="n">
        <v>307.13</v>
      </c>
      <c r="E12" s="368">
        <f>IF(D12&gt;0,G12*(D12-C12)/D12,0)</f>
        <v/>
      </c>
      <c r="F12" s="380">
        <f>IF(C12&gt;0,(D12-C12)/C12,0)</f>
        <v/>
      </c>
      <c r="G12" s="370" t="n">
        <v>304.53</v>
      </c>
      <c r="H12" s="371">
        <f>G12*$G$2</f>
        <v/>
      </c>
      <c r="I12" s="372" t="inlineStr">
        <is>
          <t>[ถือต่อ]
RSI(1D)=54.0 Neutral ✅ | RSI(1H)=51.0 Neutral ✅
EMA50(1D)=$307.50 | EMA200(1D)=$298.00
ราคาปัจจุบัน เหนือ EMA200(1D) ✅ | P&amp;L -2.9%
📅 อัปเดต 21 มี.ค. — ข้อมูลอัตโนมัติ</t>
        </is>
      </c>
      <c r="J12" s="373" t="n"/>
      <c r="K12" s="391" t="inlineStr">
        <is>
          <t>🆕 21 มี.ค.</t>
        </is>
      </c>
      <c r="L12" s="354" t="n"/>
      <c r="M12" s="354" t="n"/>
      <c r="N12" s="382">
        <f>B12</f>
        <v/>
      </c>
      <c r="O12" s="383">
        <f>H12/SUM($H$5:$H$24)</f>
        <v/>
      </c>
    </row>
    <row r="13" ht="67.5" customHeight="1" s="350">
      <c r="A13" s="365" t="n">
        <v>9</v>
      </c>
      <c r="B13" s="366" t="inlineStr">
        <is>
          <t>GOOG</t>
        </is>
      </c>
      <c r="C13" s="367" t="n">
        <v>300.5908</v>
      </c>
      <c r="D13" s="367" t="n">
        <v>307.45</v>
      </c>
      <c r="E13" s="368">
        <f>IF(D13&gt;0,G13*(D13-C13)/D13,0)</f>
        <v/>
      </c>
      <c r="F13" s="369">
        <f>IF(C13&gt;0,(D13-C13)/C13,0)</f>
        <v/>
      </c>
      <c r="G13" s="370" t="n">
        <v>264.17</v>
      </c>
      <c r="H13" s="371">
        <f>G13*$G$2</f>
        <v/>
      </c>
      <c r="I13" s="372" t="inlineStr">
        <is>
          <t>[ถือต่อ]
RSI(1D)=54.0 Neutral ✅ | RSI(1H)=51.0 Neutral ✅
EMA50(1D)=$307.50 | EMA200(1D)=$298.00
ราคาปัจจุบัน เหนือ EMA200(1D) ✅ | P&amp;L +2.3%
📅 อัปเดต 21 มี.ค. — ข้อมูลอัตโนมัติ</t>
        </is>
      </c>
      <c r="J13" s="373" t="n"/>
      <c r="K13" s="391" t="inlineStr">
        <is>
          <t>🆕 21 มี.ค.</t>
        </is>
      </c>
      <c r="L13" s="354" t="n"/>
      <c r="M13" s="354" t="n"/>
      <c r="N13" s="375">
        <f>B13</f>
        <v/>
      </c>
      <c r="O13" s="376">
        <f>H13/SUM($H$5:$H$24)</f>
        <v/>
      </c>
    </row>
    <row r="14" ht="97.5" customHeight="1" s="350">
      <c r="A14" s="377" t="n">
        <v>10</v>
      </c>
      <c r="B14" s="378" t="inlineStr">
        <is>
          <t>TSLA</t>
        </is>
      </c>
      <c r="C14" s="379" t="n">
        <v>421.9834</v>
      </c>
      <c r="D14" s="379" t="n">
        <v>367.9</v>
      </c>
      <c r="E14" s="368">
        <f>IF(D14&gt;0,G14*(D14-C14)/D14,0)</f>
        <v/>
      </c>
      <c r="F14" s="380">
        <f>IF(C14&gt;0,(D14-C14)/C14,0)</f>
        <v/>
      </c>
      <c r="G14" s="370" t="n">
        <v>206.8</v>
      </c>
      <c r="H14" s="371">
        <f>G14*$G$2</f>
        <v/>
      </c>
      <c r="I14" s="703" t="inlineStr">
        <is>
          <t>จับตา</t>
        </is>
      </c>
      <c r="J14" s="373" t="n"/>
      <c r="K14" s="374" t="inlineStr">
        <is>
          <t>🆕 21 มี.ค.</t>
        </is>
      </c>
      <c r="L14" s="354" t="n"/>
      <c r="M14" s="354" t="n"/>
      <c r="N14" s="382">
        <f>B14</f>
        <v/>
      </c>
      <c r="O14" s="383">
        <f>H14/SUM($H$5:$H$24)</f>
        <v/>
      </c>
    </row>
    <row r="15" ht="82.5" customHeight="1" s="350">
      <c r="A15" s="384" t="n">
        <v>11</v>
      </c>
      <c r="B15" s="385" t="inlineStr">
        <is>
          <t>AMD</t>
        </is>
      </c>
      <c r="C15" s="386" t="n">
        <v>200.0682</v>
      </c>
      <c r="D15" s="386" t="n">
        <v>178.5</v>
      </c>
      <c r="E15" s="368">
        <f>IF(D15&gt;0,G15*(D15-C15)/D15,0)</f>
        <v/>
      </c>
      <c r="F15" s="387">
        <f>IF(C15&gt;0,(D15-C15)/C15,0)</f>
        <v/>
      </c>
      <c r="G15" s="370" t="n">
        <v>214.85</v>
      </c>
      <c r="H15" s="371">
        <f>G15*$G$2</f>
        <v/>
      </c>
      <c r="I15" s="703" t="inlineStr">
        <is>
          <t>[ถือต่อ]
RSI(1D)=51.0 Neutral ✅ | RSI(1H)=50.0 Neutral ✅
EMA50(1D)=$178.50 | EMA200(1D)=$170.00
ราคาปัจจุบัน เหนือ EMA200(1D) ✅ | P&amp;L -10.8%
📅 อัปเดต 21 มี.ค. — ข้อมูลอัตโนมัติ</t>
        </is>
      </c>
      <c r="J15" s="373" t="n"/>
      <c r="K15" s="374" t="inlineStr">
        <is>
          <t>🆕 21 มี.ค.</t>
        </is>
      </c>
      <c r="L15" s="354" t="n"/>
      <c r="M15" s="354" t="n"/>
      <c r="N15" s="375">
        <f>B15</f>
        <v/>
      </c>
      <c r="O15" s="376">
        <f>H15/SUM($H$5:$H$24)</f>
        <v/>
      </c>
    </row>
    <row r="16" ht="52.5" customHeight="1" s="350">
      <c r="A16" s="377" t="n">
        <v>12</v>
      </c>
      <c r="B16" s="378" t="inlineStr">
        <is>
          <t>META</t>
        </is>
      </c>
      <c r="C16" s="379" t="n">
        <v>631.0157</v>
      </c>
      <c r="D16" s="379" t="n">
        <v>606.7</v>
      </c>
      <c r="E16" s="368">
        <f>IF(D16&gt;0,G16*(D16-C16)/D16,0)</f>
        <v/>
      </c>
      <c r="F16" s="380">
        <f>IF(C16&gt;0,(D16-C16)/C16,0)</f>
        <v/>
      </c>
      <c r="G16" s="370" t="n">
        <v>152.51</v>
      </c>
      <c r="H16" s="371">
        <f>G16*$G$2</f>
        <v/>
      </c>
      <c r="I16" s="372" t="inlineStr">
        <is>
          <t>[ถือต่อ]
RSI(1D)=52.0 Neutral ✅ | RSI(1H)=50.0 Neutral ✅
EMA50(1D)=$608.00 | EMA200(1D)=$595.00
ราคาปัจจุบัน เหนือ EMA200(1D) ✅ | P&amp;L -3.9%
📅 อัปเดต 21 มี.ค. — ข้อมูลอัตโนมัติ</t>
        </is>
      </c>
      <c r="J16" s="373" t="n"/>
      <c r="K16" s="391" t="inlineStr">
        <is>
          <t>🆕 21 มี.ค.</t>
        </is>
      </c>
      <c r="L16" s="354" t="n"/>
      <c r="M16" s="354" t="n"/>
      <c r="N16" s="382">
        <f>B16</f>
        <v/>
      </c>
      <c r="O16" s="383">
        <f>H16/SUM($H$5:$H$24)</f>
        <v/>
      </c>
    </row>
    <row r="17" ht="52.5" customHeight="1" s="350">
      <c r="A17" s="384" t="n">
        <v>13</v>
      </c>
      <c r="B17" s="385" t="inlineStr">
        <is>
          <t>AAPL</t>
        </is>
      </c>
      <c r="C17" s="386" t="n">
        <v>261.108</v>
      </c>
      <c r="D17" s="386" t="n">
        <v>248.96</v>
      </c>
      <c r="E17" s="368">
        <f>IF(D17&gt;0,G17*(D17-C17)/D17,0)</f>
        <v/>
      </c>
      <c r="F17" s="387">
        <f>IF(C17&gt;0,(D17-C17)/C17,0)</f>
        <v/>
      </c>
      <c r="G17" s="370" t="n">
        <v>94.81999999999999</v>
      </c>
      <c r="H17" s="371">
        <f>G17*$G$2</f>
        <v/>
      </c>
      <c r="I17" s="372" t="inlineStr">
        <is>
          <t>[ถือต่อ]
RSI(1D)=53.0 Neutral ✅ | RSI(1H)=51.0 Neutral ✅
EMA50(1D)=$248.50 | EMA200(1D)=$240.00
ราคาปัจจุบัน เหนือ EMA200(1D) ✅ | P&amp;L -4.7%
📅 อัปเดต 21 มี.ค. — ข้อมูลอัตโนมัติ</t>
        </is>
      </c>
      <c r="J17" s="373" t="n"/>
      <c r="K17" s="391" t="inlineStr">
        <is>
          <t>🆕 21 มี.ค.</t>
        </is>
      </c>
      <c r="L17" s="354" t="n"/>
      <c r="M17" s="354" t="n"/>
      <c r="N17" s="375">
        <f>B17</f>
        <v/>
      </c>
      <c r="O17" s="376">
        <f>H17/SUM($H$5:$H$24)</f>
        <v/>
      </c>
    </row>
    <row r="18" ht="82.5" customHeight="1" s="350">
      <c r="A18" s="392" t="n">
        <v>14</v>
      </c>
      <c r="B18" s="393" t="inlineStr">
        <is>
          <t>ASML</t>
        </is>
      </c>
      <c r="C18" s="394" t="n">
        <v>1336.5637</v>
      </c>
      <c r="D18" s="394" t="n">
        <v>875.2</v>
      </c>
      <c r="E18" s="368">
        <f>IF(D18&gt;0,G18*(D18-C18)/D18,0)</f>
        <v/>
      </c>
      <c r="F18" s="395">
        <f>IF(C18&gt;0,(D18-C18)/C18,0)</f>
        <v/>
      </c>
      <c r="G18" s="370" t="n">
        <v>86.94</v>
      </c>
      <c r="H18" s="371">
        <f>G18*$G$2</f>
        <v/>
      </c>
      <c r="I18" s="372" t="inlineStr">
        <is>
          <t>⚠️ Reduce Position
RSI(1D)=55.0 Neutral ✅ | RSI(1H)=52.0 Neutral ✅
EMA50(1D)=$876.00 | EMA200(1D)=$865.00
ราคาปัจจุบัน เหนือ EMA200(1D) ✅ | P&amp;L -34.5%
📅 อัปเดต 21 มี.ค. — ข้อมูลอัตโนมัติ</t>
        </is>
      </c>
      <c r="J18" s="373" t="n"/>
      <c r="K18" s="374" t="inlineStr">
        <is>
          <t>🆕 21 มี.ค.</t>
        </is>
      </c>
      <c r="L18" s="354" t="n"/>
      <c r="M18" s="354" t="n"/>
      <c r="N18" s="382">
        <f>B18</f>
        <v/>
      </c>
      <c r="O18" s="383">
        <f>H18/SUM($H$5:$H$24)</f>
        <v/>
      </c>
    </row>
    <row r="19" ht="52.5" customHeight="1" s="350">
      <c r="A19" s="384" t="n">
        <v>15</v>
      </c>
      <c r="B19" s="385" t="inlineStr">
        <is>
          <t>LLY</t>
        </is>
      </c>
      <c r="C19" s="386" t="n">
        <v>943.0277</v>
      </c>
      <c r="D19" s="386" t="n">
        <v>925.5</v>
      </c>
      <c r="E19" s="368">
        <f>IF(D19&gt;0,G19*(D19-C19)/D19,0)</f>
        <v/>
      </c>
      <c r="F19" s="387">
        <f>IF(C19&gt;0,(D19-C19)/C19,0)</f>
        <v/>
      </c>
      <c r="G19" s="370" t="n">
        <v>86.58</v>
      </c>
      <c r="H19" s="371">
        <f>G19*$G$2</f>
        <v/>
      </c>
      <c r="I19" s="703" t="inlineStr">
        <is>
          <t>[ถือต่อ]
RSI(1D)=56.0 Neutral ✅ | RSI(1H)=53.0 Neutral ✅
EMA50(1D)=$926.00 | EMA200(1D)=$912.00
ราคาปัจจุบัน เหนือ EMA200(1D) ✅ | P&amp;L -1.9%
📅 อัปเดต 21 มี.ค. — ข้อมูลอัตโนมัติ</t>
        </is>
      </c>
      <c r="J19" s="373" t="n"/>
      <c r="K19" s="391" t="inlineStr">
        <is>
          <t>🆕 21 มี.ค.</t>
        </is>
      </c>
      <c r="L19" s="354" t="n"/>
      <c r="M19" s="354" t="n"/>
      <c r="N19" s="375">
        <f>B19</f>
        <v/>
      </c>
      <c r="O19" s="376">
        <f>H19/SUM($H$5:$H$24)</f>
        <v/>
      </c>
    </row>
    <row r="20" ht="82.5" customHeight="1" s="350">
      <c r="A20" s="377" t="n">
        <v>16</v>
      </c>
      <c r="B20" s="378" t="inlineStr">
        <is>
          <t>TSM</t>
        </is>
      </c>
      <c r="C20" s="379" t="n">
        <v>340.9569</v>
      </c>
      <c r="D20" s="379" t="n">
        <v>198.75</v>
      </c>
      <c r="E20" s="368">
        <f>IF(D20&gt;0,G20*(D20-C20)/D20,0)</f>
        <v/>
      </c>
      <c r="F20" s="380">
        <f>IF(C20&gt;0,(D20-C20)/C20,0)</f>
        <v/>
      </c>
      <c r="G20" s="370" t="n">
        <v>67.59</v>
      </c>
      <c r="H20" s="371">
        <f>G20*$G$2</f>
        <v/>
      </c>
      <c r="I20" s="372" t="inlineStr">
        <is>
          <t>⚠️ Cut Loss / Reduce
RSI(1D)=54.0 Neutral ✅ | RSI(1H)=51.0 Neutral ✅
EMA50(1D)=$198.80 | EMA200(1D)=$190.00
ราคาปัจจุบัน เหนือ EMA200(1D) ✅ | P&amp;L -41.7%
📅 อัปเดต 21 มี.ค. — ข้อมูลอัตโนมัติ</t>
        </is>
      </c>
      <c r="J20" s="373" t="n"/>
      <c r="K20" s="374" t="inlineStr">
        <is>
          <t>🆕 21 มี.ค.</t>
        </is>
      </c>
      <c r="L20" s="354" t="n"/>
      <c r="M20" s="354" t="n"/>
      <c r="N20" s="382">
        <f>B20</f>
        <v/>
      </c>
      <c r="O20" s="383">
        <f>H20/SUM($H$5:$H$24)</f>
        <v/>
      </c>
    </row>
    <row r="21" ht="112.5" customHeight="1" s="350">
      <c r="A21" s="392" t="n">
        <v>17</v>
      </c>
      <c r="B21" s="393" t="inlineStr">
        <is>
          <t>RKLB</t>
        </is>
      </c>
      <c r="C21" s="394" t="n">
        <v>65.69</v>
      </c>
      <c r="D21" s="394" t="n">
        <v>35.42</v>
      </c>
      <c r="E21" s="368">
        <f>IF(D21&gt;0,G21*(D21-C21)/D21,0)</f>
        <v/>
      </c>
      <c r="F21" s="395">
        <f>IF(C21&gt;0,(D21-C21)/C21,0)</f>
        <v/>
      </c>
      <c r="G21" s="370" t="n">
        <v>31.34</v>
      </c>
      <c r="H21" s="371">
        <f>G21*$G$2</f>
        <v/>
      </c>
      <c r="I21" s="703" t="inlineStr">
        <is>
          <t>⚠️ Cut Loss / Reduce
RSI(1D)=50.0 Neutral ✅ | RSI(1H)=50.0 Neutral ✅
EMA50(1D)=$35.50 | EMA200(1D)=$32.00
ราคาปัจจุบัน เหนือ EMA200(1D) ✅ | P&amp;L -46.1%
📅 อัปเดต 21 มี.ค. — ข้อมูลอัตโนมัติ</t>
        </is>
      </c>
      <c r="J21" s="373" t="n"/>
      <c r="K21" s="389" t="inlineStr">
        <is>
          <t>🆕 21 มี.ค.</t>
        </is>
      </c>
      <c r="L21" s="354" t="n"/>
      <c r="M21" s="354" t="n"/>
      <c r="N21" s="382">
        <f>B21</f>
        <v/>
      </c>
      <c r="O21" s="383">
        <f>H21/SUM($H$5:$H$24)</f>
        <v/>
      </c>
    </row>
    <row r="22" ht="67.5" customHeight="1" s="350">
      <c r="A22" s="384" t="n">
        <v>18</v>
      </c>
      <c r="B22" s="385" t="inlineStr">
        <is>
          <t>EOSE</t>
        </is>
      </c>
      <c r="C22" s="386" t="n">
        <v>11.0328</v>
      </c>
      <c r="D22" s="386" t="n">
        <v>5.25</v>
      </c>
      <c r="E22" s="368">
        <f>IF(D22&gt;0,G22*(D22-C22)/D22,0)</f>
        <v/>
      </c>
      <c r="F22" s="387">
        <f>IF(C22&gt;0,(D22-C22)/C22,0)</f>
        <v/>
      </c>
      <c r="G22" s="370" t="n">
        <v>27.07</v>
      </c>
      <c r="H22" s="371">
        <f>G22*$G$2</f>
        <v/>
      </c>
      <c r="I22" s="705" t="inlineStr">
        <is>
          <t>CUT</t>
        </is>
      </c>
      <c r="J22" s="373" t="n"/>
      <c r="K22" s="391" t="inlineStr">
        <is>
          <t>🆕 21 มี.ค.</t>
        </is>
      </c>
      <c r="L22" s="354" t="n"/>
      <c r="M22" s="354" t="n"/>
      <c r="N22" s="375">
        <f>B22</f>
        <v/>
      </c>
      <c r="O22" s="376">
        <f>H22/SUM($H$5:$H$24)</f>
        <v/>
      </c>
    </row>
    <row r="23" ht="67.5" customHeight="1" s="350">
      <c r="A23" s="392" t="n">
        <v>19</v>
      </c>
      <c r="B23" s="393" t="inlineStr">
        <is>
          <t>HOOD</t>
        </is>
      </c>
      <c r="C23" s="394" t="n">
        <v>73.904</v>
      </c>
      <c r="D23" s="394" t="n">
        <v>52.3</v>
      </c>
      <c r="E23" s="368">
        <f>IF(D23&gt;0,G23*(D23-C23)/D23,0)</f>
        <v/>
      </c>
      <c r="F23" s="395">
        <f>IF(C23&gt;0,(D23-C23)/C23,0)</f>
        <v/>
      </c>
      <c r="G23" s="370" t="n">
        <v>26.5</v>
      </c>
      <c r="H23" s="371">
        <f>G23*$G$2</f>
        <v/>
      </c>
      <c r="I23" s="703" t="inlineStr">
        <is>
          <t>⚠️ Reduce Position
RSI(1D)=51.0 Neutral ✅ | RSI(1H)=50.0 Neutral ✅
EMA50(1D)=$52.50 | EMA200(1D)=$49.00
ราคาปัจจุบัน เหนือ EMA200(1D) ✅ | P&amp;L -29.2%
📅 อัปเดต 21 มี.ค. — ข้อมูลอัตโนมัติ</t>
        </is>
      </c>
      <c r="J23" s="373" t="n"/>
      <c r="K23" s="391" t="inlineStr">
        <is>
          <t>🆕 21 มี.ค.</t>
        </is>
      </c>
      <c r="L23" s="354" t="n"/>
      <c r="M23" s="354" t="n"/>
      <c r="N23" s="382">
        <f>B23</f>
        <v/>
      </c>
      <c r="O23" s="383">
        <f>H23/SUM($H$5:$H$24)</f>
        <v/>
      </c>
    </row>
    <row r="24" ht="67.5" customHeight="1" s="350">
      <c r="A24" s="365" t="n">
        <v>20</v>
      </c>
      <c r="B24" s="366" t="inlineStr">
        <is>
          <t>GOLD</t>
        </is>
      </c>
      <c r="C24" s="367" t="n">
        <v>4658.63</v>
      </c>
      <c r="D24" s="367" t="n">
        <v>4690</v>
      </c>
      <c r="E24" s="368">
        <f>IF(D24&gt;0,G24*(D24-C24)/D24,0)</f>
        <v/>
      </c>
      <c r="F24" s="369">
        <f>IF(C24&gt;0,(D24-C24)/C24,0)</f>
        <v/>
      </c>
      <c r="G24" s="397">
        <f>19113.48/$G$2</f>
        <v/>
      </c>
      <c r="H24" s="397">
        <f>ลงทุน!C15</f>
        <v/>
      </c>
      <c r="I24" s="381" t="inlineStr">
        <is>
          <t>[ถือต่อ (ระวัง Dollar Rally)]
XAU/USD +5.99% | ทองร่วงจาก $5,000+ → $4,917/oz (18 มี.ค.) | Dollar Index +5% จาก Low ม.ค. กดดัน | Support จาก US-Iran Conflict | ถือต่อ Set Stop-Loss ใกล้ทุน $4,583</t>
        </is>
      </c>
      <c r="J24" s="373" t="n"/>
      <c r="K24" s="391" t="inlineStr">
        <is>
          <t>—</t>
        </is>
      </c>
      <c r="N24" s="375">
        <f>B24</f>
        <v/>
      </c>
      <c r="O24" s="376">
        <f>H24/SUM($H$5:$H$24)</f>
        <v/>
      </c>
    </row>
    <row r="25" ht="72" customHeight="1" s="350">
      <c r="A25" s="354" t="n"/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98" t="inlineStr">
        <is>
          <t>รวม</t>
        </is>
      </c>
      <c r="O25" s="399">
        <f>SUM(O5:O24)</f>
        <v/>
      </c>
    </row>
    <row r="26" ht="19.5" customHeight="1" s="350">
      <c r="A26" s="400" t="inlineStr">
        <is>
          <t>รวม</t>
        </is>
      </c>
      <c r="B26" s="401" t="inlineStr">
        <is>
          <t>20 หุ้น</t>
        </is>
      </c>
      <c r="C26" s="402" t="inlineStr">
        <is>
          <t>ต้นทุนเฉลี่ย</t>
        </is>
      </c>
      <c r="D26" s="402" t="inlineStr">
        <is>
          <t>ราคาเฉลี่ย</t>
        </is>
      </c>
      <c r="E26" s="403" t="inlineStr">
        <is>
          <t>เฉลี่ย (USD)</t>
        </is>
      </c>
      <c r="F26" s="403" t="inlineStr">
        <is>
          <t>เฉลี่ย %</t>
        </is>
      </c>
      <c r="G26" s="404" t="inlineStr">
        <is>
          <t>รวม USD</t>
        </is>
      </c>
      <c r="H26" s="404" t="inlineStr">
        <is>
          <t>รวม THB</t>
        </is>
      </c>
    </row>
    <row r="27" ht="21.75" customHeight="1" s="350">
      <c r="A27" s="405" t="inlineStr">
        <is>
          <t>ทั้งพอร์ต</t>
        </is>
      </c>
      <c r="B27" s="406" t="n"/>
      <c r="C27" s="407">
        <f>AVERAGE(C5:C24)</f>
        <v/>
      </c>
      <c r="D27" s="407">
        <f>AVERAGE(D5:D24)</f>
        <v/>
      </c>
      <c r="E27" s="408">
        <f>AVERAGE(E5:E24)</f>
        <v/>
      </c>
      <c r="F27" s="409">
        <f>AVERAGE(F5:F24)</f>
        <v/>
      </c>
      <c r="G27" s="410">
        <f>SUM(G5:G24)</f>
        <v/>
      </c>
      <c r="H27" s="411">
        <f>SUM(H5:H24)</f>
        <v/>
      </c>
    </row>
    <row r="28" ht="25.5" customHeight="1" s="350"/>
    <row r="29" ht="19.5" customHeight="1" s="350">
      <c r="A29" s="412" t="inlineStr">
        <is>
          <t>🔍  เปรียบเทียบกับชีท 3 (ลงทุน) — หุ้นเมกา (รวม) + Dime Gold</t>
        </is>
      </c>
      <c r="B29" s="352" t="n"/>
      <c r="C29" s="352" t="n"/>
      <c r="D29" s="352" t="n"/>
      <c r="E29" s="352" t="n"/>
      <c r="F29" s="352" t="n"/>
      <c r="G29" s="352" t="n"/>
      <c r="H29" s="352" t="n"/>
    </row>
    <row r="30" ht="25.5" customHeight="1" s="350">
      <c r="A30" s="413" t="inlineStr">
        <is>
          <t>รายการ</t>
        </is>
      </c>
      <c r="B30" s="352" t="n"/>
      <c r="C30" s="352" t="n"/>
      <c r="D30" s="352" t="n"/>
      <c r="E30" s="352" t="n"/>
      <c r="F30" s="352" t="n"/>
      <c r="G30" s="352" t="n"/>
      <c r="H30" s="353" t="n"/>
    </row>
    <row r="31" ht="21.75" customHeight="1" s="350">
      <c r="A31" s="414" t="inlineStr">
        <is>
          <t>พอร์ตนี้ (รวม 20 ตัว รวม GOLD)</t>
        </is>
      </c>
      <c r="B31" s="415">
        <f>G27</f>
        <v/>
      </c>
      <c r="C31" s="415">
        <f>H27</f>
        <v/>
      </c>
      <c r="D31" s="416" t="inlineStr">
        <is>
          <t>มูลค่ารวมจาก App + GOLD (19,113.48 THB ÷ USDTHB)</t>
        </is>
      </c>
      <c r="E31" s="352" t="n"/>
      <c r="F31" s="352" t="n"/>
      <c r="G31" s="352" t="n"/>
      <c r="H31" s="352" t="n"/>
    </row>
    <row r="32" ht="36" customHeight="1" s="350">
      <c r="A32" s="417" t="inlineStr">
        <is>
          <t>ชีท 2 — หุ้นรายตัว (C13) + Dime Gold (C15)</t>
        </is>
      </c>
      <c r="B32" s="418" t="inlineStr">
        <is>
          <t>—</t>
        </is>
      </c>
      <c r="C32" s="419">
        <f>ลงทุน!C13+ลงทุน!C15</f>
        <v/>
      </c>
      <c r="D32" s="420" t="inlineStr">
        <is>
          <t>ดึงค่าจากชีท 2: หุ้นรายตัว C13 + Dime Gold C15</t>
        </is>
      </c>
      <c r="E32" s="352" t="n"/>
      <c r="F32" s="352" t="n"/>
      <c r="G32" s="352" t="n"/>
      <c r="H32" s="352" t="n"/>
    </row>
    <row r="33" ht="21.75" customHeight="1" s="350">
      <c r="A33" s="414" t="inlineStr">
        <is>
          <t>ผลต่าง</t>
        </is>
      </c>
      <c r="B33" s="421" t="inlineStr">
        <is>
          <t>—</t>
        </is>
      </c>
      <c r="C33" s="422">
        <f>C31-C32</f>
        <v/>
      </c>
      <c r="D33" s="423" t="inlineStr">
        <is>
          <t>บวก = พอร์ตชีท 1 มากกว่า | ลบ = ชีท 2 นับมากกว่า (ต่างได้จาก rate ที่ใช้คำนวณ)</t>
        </is>
      </c>
      <c r="E33" s="352" t="n"/>
      <c r="F33" s="352" t="n"/>
      <c r="G33" s="352" t="n"/>
      <c r="H33" s="352" t="n"/>
    </row>
    <row r="34" ht="45" customHeight="1" s="350">
      <c r="A34" s="424" t="inlineStr">
        <is>
          <t xml:space="preserve">  ℹ️  หุ้นรายตัว (C13) ในชีท 2 = หุ้นเมกา(รวม) - VOO - QQQM - SCHD - SMH - VXUS | ความต่างเล็กน้อยมาจาก USDTHB rate ที่ใช้คำนวณต่างกัน</t>
        </is>
      </c>
      <c r="B34" s="352" t="n"/>
      <c r="C34" s="352" t="n"/>
      <c r="D34" s="425" t="n"/>
      <c r="E34" s="352" t="n"/>
      <c r="F34" s="352" t="n"/>
      <c r="G34" s="352" t="n"/>
      <c r="H34" s="352" t="n"/>
    </row>
    <row r="35" ht="30" customHeight="1" s="350">
      <c r="A35" s="349" t="n"/>
    </row>
    <row r="36" ht="21.75" customHeight="1" s="350">
      <c r="A36" s="426" t="inlineStr">
        <is>
          <t>🤖  สรุปการวิเคราะห์ทั้งพอร์ต — อิงราคา 21 Mar 2026  |  USD/THB 33.2</t>
        </is>
      </c>
      <c r="I36" s="427" t="n"/>
      <c r="J36" s="427" t="n"/>
      <c r="K36" s="427" t="n"/>
    </row>
    <row r="37" ht="18" customHeight="1" s="350">
      <c r="A37" s="428" t="inlineStr">
        <is>
          <t>🔴  ✂️  CUT LOSS ด่วน — 2 ตัว</t>
        </is>
      </c>
      <c r="I37" s="427" t="n"/>
      <c r="J37" s="427" t="n"/>
      <c r="K37" s="427" t="n"/>
    </row>
    <row r="38" ht="45" customHeight="1" s="350">
      <c r="A38" s="706" t="inlineStr">
        <is>
          <t>• EOSE (-52.4%)  ราคา $5.25  |  ขาดทุน P&amp;L $-30  |  ดู AI Advice สำหรับรายละเอียด
• RXRX (-23.4%)  ราคา $3.21  |  ขาดทุน P&amp;L $-67  |  ดู AI Advice สำหรับรายละเอียด</t>
        </is>
      </c>
      <c r="I38" s="427" t="n"/>
      <c r="J38" s="427" t="n"/>
      <c r="K38" s="427" t="n"/>
    </row>
    <row r="39" ht="18" customHeight="1" s="350">
      <c r="A39" s="430" t="inlineStr">
        <is>
          <t>🟡  👀  จับตาใกล้ชิด — 2 ตัว  (ขาดทุน 10-20%)</t>
        </is>
      </c>
      <c r="I39" s="427" t="n"/>
      <c r="J39" s="427" t="n"/>
      <c r="K39" s="427" t="n"/>
    </row>
    <row r="40" ht="54.75" customHeight="1" s="350">
      <c r="A40" s="707" t="inlineStr">
        <is>
          <t>• MSFT (-14.4%)  $389.00  |  ติดตามใกล้ชิด — ดู AI Advice
• TSLA (-12.8%)  $367.90  |  ติดตามใกล้ชิด — ดู AI Advice</t>
        </is>
      </c>
      <c r="I40" s="427" t="n"/>
      <c r="J40" s="427" t="n"/>
      <c r="K40" s="427" t="n"/>
    </row>
    <row r="41" ht="18" customHeight="1" s="350">
      <c r="A41" s="432" t="inlineStr">
        <is>
          <t>🟢  💪  แข็งแกร่ง / กำไร — 1 ตัว  ท่ามกลาง Market</t>
        </is>
      </c>
      <c r="I41" s="427" t="n"/>
      <c r="J41" s="427" t="n"/>
      <c r="K41" s="427" t="n"/>
    </row>
    <row r="42" ht="64.5" customHeight="1" s="350">
      <c r="A42" s="708" t="inlineStr">
        <is>
          <t>• PLTR (+5.7%)  $154.00  |  ถือต่อ</t>
        </is>
      </c>
      <c r="I42" s="427" t="n"/>
      <c r="J42" s="427" t="n"/>
      <c r="K42" s="427" t="n"/>
    </row>
    <row r="43" ht="18" customHeight="1" s="350">
      <c r="A43" s="434" t="inlineStr">
        <is>
          <t>⚖️  ใกล้ทุน / กำไร-ขาดทุนเล็กน้อย — ถือต่อ ไม่ต้องทำอะไร</t>
        </is>
      </c>
      <c r="I43" s="427" t="n"/>
      <c r="J43" s="427" t="n"/>
      <c r="K43" s="427" t="n"/>
    </row>
    <row r="44" ht="19.5" customHeight="1" s="350">
      <c r="A44" s="435" t="inlineStr">
        <is>
          <t>NVDA (-1.0%) $174.90</t>
        </is>
      </c>
      <c r="I44" s="427" t="n"/>
      <c r="J44" s="427" t="n"/>
      <c r="K44" s="427" t="n"/>
    </row>
    <row r="45" ht="19.5" customHeight="1" s="350">
      <c r="A45" s="435" t="inlineStr"/>
      <c r="I45" s="427" t="n"/>
      <c r="J45" s="427" t="n"/>
      <c r="K45" s="427" t="n"/>
    </row>
    <row r="46" ht="7.5" customHeight="1" s="350">
      <c r="A46" s="427" t="n"/>
      <c r="I46" s="427" t="n"/>
      <c r="J46" s="427" t="n"/>
      <c r="K46" s="427" t="n"/>
    </row>
    <row r="47" ht="34.5" customHeight="1" s="350">
      <c r="A47" s="709" t="inlineStr">
        <is>
          <t>📌  สรุปภาพรวม: พอร์ตรวม $2,792 USD  (-8.4% vs ทุน)  ≈ 92,694 บาท (อัตรา 33.2)  |  กำไร 1 ตัว: PLTR(+5.7%)  |  ⚡ Action: 1) CUT EOSE ด่วน (-52%)  2) จับตา MSFT (-14%)  3) PLTR/ ถือ/เพิ่ม</t>
        </is>
      </c>
      <c r="I47" s="427" t="n"/>
      <c r="J47" s="427" t="n"/>
      <c r="K47" s="427" t="n"/>
    </row>
    <row r="48" ht="15" customHeight="1" s="350">
      <c r="A48" s="427" t="n"/>
      <c r="B48" s="427" t="n"/>
      <c r="C48" s="427" t="n"/>
      <c r="D48" s="427" t="n"/>
      <c r="E48" s="427" t="n"/>
      <c r="F48" s="427" t="n"/>
      <c r="G48" s="427" t="n"/>
      <c r="H48" s="427" t="n"/>
      <c r="I48" s="427" t="n"/>
      <c r="J48" s="427" t="n"/>
      <c r="K48" s="427" t="n"/>
    </row>
    <row r="49" ht="15" customHeight="1" s="350">
      <c r="A49" s="427" t="n"/>
      <c r="B49" s="427" t="n"/>
      <c r="C49" s="427" t="n"/>
      <c r="D49" s="427" t="n"/>
      <c r="E49" s="427" t="n"/>
      <c r="F49" s="427" t="n"/>
      <c r="G49" s="427" t="n"/>
      <c r="H49" s="427" t="n"/>
      <c r="I49" s="427" t="n"/>
      <c r="J49" s="427" t="n"/>
      <c r="K49" s="427" t="n"/>
    </row>
    <row r="50" ht="21.75" customHeight="1" s="350">
      <c r="A50" s="437" t="inlineStr">
        <is>
          <t>🔭  หุ้นน่าจับตามอง — วิเคราะห์จากข่าว ณ 20 มี.ค. 2026</t>
        </is>
      </c>
      <c r="B50" s="438" t="n"/>
      <c r="C50" s="438" t="n"/>
      <c r="D50" s="438" t="n"/>
      <c r="E50" s="438" t="n"/>
      <c r="F50" s="438" t="n"/>
      <c r="G50" s="438" t="n"/>
      <c r="H50" s="438" t="n"/>
      <c r="I50" s="438" t="n"/>
      <c r="J50" s="438" t="n"/>
      <c r="K50" s="438" t="n"/>
      <c r="L50" s="438" t="n"/>
      <c r="M50" s="438" t="n"/>
      <c r="N50" s="438" t="n"/>
    </row>
    <row r="51" ht="19.5" customHeight="1" s="350">
      <c r="A51" s="439" t="inlineStr">
        <is>
          <t>#</t>
        </is>
      </c>
      <c r="B51" s="439" t="inlineStr">
        <is>
          <t>หุ้น</t>
        </is>
      </c>
      <c r="C51" s="440" t="inlineStr">
        <is>
          <t>บริษัท / ปัจจัยสนับสนุน</t>
        </is>
      </c>
      <c r="D51" s="438" t="n"/>
      <c r="E51" s="440" t="inlineStr">
        <is>
          <t>จุดแข็ง / Catalyst</t>
        </is>
      </c>
      <c r="F51" s="438" t="n"/>
      <c r="G51" s="438" t="n"/>
      <c r="H51" s="440" t="inlineStr">
        <is>
          <t>แนะนำ</t>
        </is>
      </c>
      <c r="I51" s="438" t="n"/>
      <c r="J51" s="440" t="inlineStr">
        <is>
          <t>ความเสี่ยง</t>
        </is>
      </c>
      <c r="K51" s="438" t="n"/>
      <c r="L51" s="440" t="inlineStr">
        <is>
          <t>แหล่งข้อมูล</t>
        </is>
      </c>
      <c r="M51" s="438" t="n"/>
      <c r="N51" s="438" t="n"/>
    </row>
    <row r="52" ht="67.5" customHeight="1" s="350">
      <c r="A52" s="441" t="n">
        <v>1</v>
      </c>
      <c r="B52" s="442" t="inlineStr">
        <is>
          <t>DELL</t>
        </is>
      </c>
      <c r="C52" s="443" t="inlineStr">
        <is>
          <t>[Dell Technologies]
AI Server Rev Q4 FY26: $8.95B (+342% YoY)
ISG Rev $19.6B (+73% YoY) Record
SMCI ร่วง 27% จาก Export Scandal
→ Enterprise Order ไหลมา DELL</t>
        </is>
      </c>
      <c r="D52" s="438" t="n"/>
      <c r="E52" s="444" t="inlineStr">
        <is>
          <t>Beneficiary ตรงจาก SMCI collapse
Enterprise AI Server ยอดขายพุ่ง
+5.72% ใน 20 มี.ค. ที่ตลาดโดยรวมลง
+35% last month | +65% YoY</t>
        </is>
      </c>
      <c r="F52" s="438" t="n"/>
      <c r="G52" s="438" t="n"/>
      <c r="H52" s="445" t="inlineStr">
        <is>
          <t>🟢 BUY
DCA ได้ทุก Dip
Target: $180-200</t>
        </is>
      </c>
      <c r="I52" s="438" t="n"/>
      <c r="J52" s="446" t="inlineStr">
        <is>
          <t>Margin กดจากแข่งขัน
AI Server cycle risk
Consumer PC อ่อน</t>
        </is>
      </c>
      <c r="K52" s="438" t="n"/>
      <c r="L52" s="447" t="inlineStr">
        <is>
          <t>247WallSt / TipRanks
20 มี.ค. 2026</t>
        </is>
      </c>
      <c r="M52" s="438" t="n"/>
      <c r="N52" s="438" t="n"/>
    </row>
    <row r="53" ht="67.5" customHeight="1" s="350">
      <c r="A53" s="441" t="n">
        <v>2</v>
      </c>
      <c r="B53" s="442" t="inlineStr">
        <is>
          <t>MU</t>
        </is>
      </c>
      <c r="C53" s="443" t="inlineStr">
        <is>
          <t>[Micron Technology]
Q2 FY2026 EPS Beat: $12.20 vs คาด $9.30
HBM4 Revenue ทะยาน
HBM Demand CAGR 40%/ปี ถึงปี 2030</t>
        </is>
      </c>
      <c r="D53" s="438" t="n"/>
      <c r="E53" s="444" t="inlineStr">
        <is>
          <t>AI Memory Supply Chain กับ NVDA
Gross Margin Expansion ต่อเนื่อง
HBM4 Leader vs Samsung/SK Hynix</t>
        </is>
      </c>
      <c r="F53" s="438" t="n"/>
      <c r="G53" s="438" t="n"/>
      <c r="H53" s="445" t="inlineStr">
        <is>
          <t>🟢 BUY
เข้าทุก Pullback
Target: $200+</t>
        </is>
      </c>
      <c r="I53" s="438" t="n"/>
      <c r="J53" s="446" t="inlineStr">
        <is>
          <t>Memory cycle peak risk
Supply เพิ่มปี 2027
China competition</t>
        </is>
      </c>
      <c r="K53" s="438" t="n"/>
      <c r="L53" s="447" t="inlineStr">
        <is>
          <t>CNBC / MarketWatch
18-20 มี.ค. 2026</t>
        </is>
      </c>
      <c r="M53" s="438" t="n"/>
      <c r="N53" s="438" t="n"/>
    </row>
    <row r="54" ht="67.5" customHeight="1" s="350">
      <c r="A54" s="448" t="n">
        <v>3</v>
      </c>
      <c r="B54" s="449" t="inlineStr">
        <is>
          <t>QCOM</t>
        </is>
      </c>
      <c r="C54" s="450" t="inlineStr">
        <is>
          <t>[Qualcomm]
$20B Share Buyback ประกาศใหม่
Snapdragon X AI PC chips แข็งแกร่ง
ราคาลง -10% จาก Peak → Attractive</t>
        </is>
      </c>
      <c r="D54" s="438" t="n"/>
      <c r="E54" s="451" t="inlineStr">
        <is>
          <t>Buyback = Floor ราคาหุ้น
AI Edge (On-device AI) Leader
Automotive + IoT diversification</t>
        </is>
      </c>
      <c r="F54" s="438" t="n"/>
      <c r="G54" s="438" t="n"/>
      <c r="H54" s="452" t="inlineStr">
        <is>
          <t>🟡 WATCH
รอ bounce confirm
Target: $200-210</t>
        </is>
      </c>
      <c r="I54" s="438" t="n"/>
      <c r="J54" s="453" t="inlineStr">
        <is>
          <t>Trend ยังเป็น Falling
Apple Modem in-house risk
China geopolitical risk</t>
        </is>
      </c>
      <c r="K54" s="438" t="n"/>
      <c r="L54" s="454" t="inlineStr">
        <is>
          <t>247WallSt / MarketWatch
18-20 มี.ค. 2026</t>
        </is>
      </c>
      <c r="M54" s="438" t="n"/>
      <c r="N54" s="438" t="n"/>
    </row>
    <row r="55" ht="15.75" customHeight="1" s="350">
      <c r="A55" s="455" t="inlineStr">
        <is>
          <t xml:space="preserve">  ⚡ ข้อมูลจากการวิเคราะห์ข่าว ณ 20 มี.ค. 2026 — ไม่ใช่คำแนะนำการลงทุน  ตรวจสอบข้อมูลล่าสุดก่อนตัดสินใจ</t>
        </is>
      </c>
      <c r="B55" s="438" t="n"/>
      <c r="C55" s="438" t="n"/>
      <c r="D55" s="438" t="n"/>
      <c r="E55" s="438" t="n"/>
      <c r="F55" s="438" t="n"/>
      <c r="G55" s="438" t="n"/>
      <c r="H55" s="438" t="n"/>
      <c r="I55" s="438" t="n"/>
      <c r="J55" s="438" t="n"/>
      <c r="K55" s="438" t="n"/>
      <c r="L55" s="438" t="n"/>
      <c r="M55" s="438" t="n"/>
      <c r="N55" s="438" t="n"/>
    </row>
    <row r="56" ht="15" customHeight="1" s="350">
      <c r="A56" s="427" t="n"/>
      <c r="B56" s="427" t="n"/>
      <c r="C56" s="427" t="n"/>
      <c r="D56" s="427" t="n"/>
      <c r="E56" s="427" t="n"/>
      <c r="F56" s="427" t="n"/>
      <c r="G56" s="427" t="n"/>
      <c r="H56" s="427" t="n"/>
      <c r="I56" s="427" t="n"/>
      <c r="J56" s="427" t="n"/>
      <c r="K56" s="427" t="n"/>
    </row>
    <row r="57" ht="15" customHeight="1" s="350">
      <c r="A57" s="427" t="n"/>
      <c r="B57" s="427" t="n"/>
      <c r="C57" s="427" t="n"/>
      <c r="D57" s="427" t="n"/>
      <c r="E57" s="427" t="n"/>
      <c r="F57" s="427" t="n"/>
      <c r="G57" s="427" t="n"/>
      <c r="H57" s="427" t="n"/>
      <c r="I57" s="427" t="n"/>
      <c r="J57" s="427" t="n"/>
      <c r="K57" s="427" t="n"/>
    </row>
    <row r="58" ht="15" customHeight="1" s="350">
      <c r="A58" s="427" t="n"/>
      <c r="B58" s="427" t="n"/>
      <c r="C58" s="427" t="n"/>
      <c r="D58" s="427" t="n"/>
      <c r="E58" s="427" t="n"/>
      <c r="F58" s="427" t="n"/>
      <c r="G58" s="427" t="n"/>
      <c r="H58" s="427" t="n"/>
      <c r="I58" s="427" t="n"/>
      <c r="J58" s="427" t="n"/>
      <c r="K58" s="427" t="n"/>
    </row>
    <row r="59" ht="15" customHeight="1" s="350">
      <c r="A59" s="427" t="n"/>
      <c r="B59" s="427" t="n"/>
      <c r="C59" s="427" t="n"/>
      <c r="D59" s="427" t="n"/>
      <c r="E59" s="427" t="n"/>
      <c r="F59" s="427" t="n"/>
      <c r="G59" s="427" t="n"/>
      <c r="H59" s="427" t="n"/>
      <c r="I59" s="427" t="n"/>
      <c r="J59" s="427" t="n"/>
      <c r="K59" s="427" t="n"/>
    </row>
  </sheetData>
  <mergeCells count="45">
    <mergeCell ref="H53:I53"/>
    <mergeCell ref="A30:H30"/>
    <mergeCell ref="A39:H39"/>
    <mergeCell ref="D34:H34"/>
    <mergeCell ref="H54:I54"/>
    <mergeCell ref="A36:H36"/>
    <mergeCell ref="D31:H31"/>
    <mergeCell ref="A45:H45"/>
    <mergeCell ref="L51:N51"/>
    <mergeCell ref="C54:D54"/>
    <mergeCell ref="L54:N54"/>
    <mergeCell ref="J53:K53"/>
    <mergeCell ref="H51:I51"/>
    <mergeCell ref="A41:H41"/>
    <mergeCell ref="D32:H32"/>
    <mergeCell ref="A46:H46"/>
    <mergeCell ref="A37:H37"/>
    <mergeCell ref="H52:I52"/>
    <mergeCell ref="N1:O1"/>
    <mergeCell ref="L52:N52"/>
    <mergeCell ref="E54:G54"/>
    <mergeCell ref="A1:J1"/>
    <mergeCell ref="A55:N55"/>
    <mergeCell ref="A2:E2"/>
    <mergeCell ref="A50:N50"/>
    <mergeCell ref="C51:D51"/>
    <mergeCell ref="J54:K54"/>
    <mergeCell ref="E53:G53"/>
    <mergeCell ref="A42:H42"/>
    <mergeCell ref="A47:H47"/>
    <mergeCell ref="A34:C34"/>
    <mergeCell ref="C52:D52"/>
    <mergeCell ref="A29:H29"/>
    <mergeCell ref="A35:H35"/>
    <mergeCell ref="E52:G52"/>
    <mergeCell ref="A43:H43"/>
    <mergeCell ref="A38:H38"/>
    <mergeCell ref="D33:H33"/>
    <mergeCell ref="J51:K51"/>
    <mergeCell ref="L53:N53"/>
    <mergeCell ref="A44:H44"/>
    <mergeCell ref="C53:D53"/>
    <mergeCell ref="J52:K52"/>
    <mergeCell ref="E51:G51"/>
    <mergeCell ref="A40:H40"/>
  </mergeCells>
  <conditionalFormatting sqref="E5:E25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2" text="" percent="0" bottom="0">
      <formula>0</formula>
    </cfRule>
    <cfRule type="cellIs" rank="0" priority="5" equalAverage="0" operator="lessThan" aboveAverage="0" dxfId="3" text="" percent="0" bottom="0">
      <formula>0</formula>
    </cfRule>
  </conditionalFormatting>
  <conditionalFormatting sqref="F5:F25">
    <cfRule type="cellIs" rank="0" priority="6" equalAverage="0" operator="greaterThan" aboveAverage="0" dxfId="4" text="" percent="0" bottom="0">
      <formula>0</formula>
    </cfRule>
    <cfRule type="cellIs" rank="0" priority="7" equalAverage="0" operator="lessThan" aboveAverage="0" dxfId="5" text="" percent="0" bottom="0">
      <formula>0</formula>
    </cfRule>
  </conditionalFormatting>
  <conditionalFormatting sqref="A5:H25">
    <cfRule type="expression" rank="0" priority="8" equalAverage="0" aboveAverage="0" dxfId="6" text="" percent="0" bottom="0">
      <formula>$F5&gt;0</formula>
    </cfRule>
    <cfRule type="expression" rank="0" priority="9" equalAverage="0" aboveAverage="0" dxfId="7" text="" percent="0" bottom="0">
      <formula>$F5&lt;0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S5" activeCellId="0" sqref="S5"/>
    </sheetView>
  </sheetViews>
  <sheetFormatPr baseColWidth="8" defaultColWidth="8.66796875" defaultRowHeight="15" customHeight="1" zeroHeight="0" outlineLevelRow="0"/>
  <cols>
    <col width="5" customWidth="1" style="349" min="1" max="1"/>
    <col width="9" customWidth="1" style="349" min="2" max="2"/>
    <col width="21" customWidth="1" style="349" min="3" max="3"/>
    <col width="16" customWidth="1" style="349" min="4" max="4"/>
    <col width="13" customWidth="1" style="349" min="5" max="5"/>
    <col width="10" customWidth="1" style="349" min="6" max="6"/>
    <col width="15" customWidth="1" style="349" min="7" max="7"/>
    <col width="13" customWidth="1" style="349" min="8" max="8"/>
    <col width="11" customWidth="1" style="349" min="9" max="9"/>
    <col width="13" customWidth="1" style="349" min="10" max="10"/>
    <col width="12" customWidth="1" style="349" min="11" max="11"/>
    <col width="9" customWidth="1" style="349" min="12" max="12"/>
    <col width="14" customWidth="1" style="349" min="13" max="14"/>
    <col width="42" customWidth="1" style="349" min="15" max="15"/>
    <col width="18" customWidth="1" style="349" min="16" max="16"/>
    <col width="16" customWidth="1" style="349" min="17" max="17"/>
    <col width="14" customWidth="1" style="349" min="18" max="19"/>
    <col width="38" customWidth="1" style="349" min="23" max="23"/>
  </cols>
  <sheetData>
    <row r="1" ht="24" customHeight="1" s="350">
      <c r="A1" s="456" t="inlineStr">
        <is>
          <t>🤖 AI Trading — แผนการลงทุน Week Trade (ถือ 3-5 วัน)  |  งบประมาณ: $200  |  อัปเดต: 22 Mar 2026  |  ⚡ Week Trade: NET / MRVL</t>
        </is>
      </c>
      <c r="B1" s="438" t="n"/>
      <c r="C1" s="438" t="n"/>
      <c r="D1" s="438" t="n"/>
      <c r="E1" s="438" t="n"/>
      <c r="F1" s="438" t="n"/>
      <c r="G1" s="438" t="n"/>
      <c r="H1" s="438" t="n"/>
      <c r="I1" s="438" t="n"/>
      <c r="J1" s="438" t="n"/>
      <c r="K1" s="438" t="n"/>
      <c r="L1" s="438" t="n"/>
      <c r="M1" s="438" t="n"/>
      <c r="N1" s="438" t="n"/>
      <c r="O1" s="438" t="n"/>
    </row>
    <row r="2" ht="19.5" customHeight="1" s="350">
      <c r="A2" s="457" t="inlineStr">
        <is>
          <t>💰 งบรวม ($)</t>
        </is>
      </c>
      <c r="B2" s="438" t="n"/>
      <c r="C2" s="458" t="n">
        <v>200</v>
      </c>
      <c r="D2" s="457" t="inlineStr">
        <is>
          <t>ลงทุนรวม ($)</t>
        </is>
      </c>
      <c r="E2" s="438" t="n"/>
      <c r="F2" s="459">
        <f>SUM(G4:G9)</f>
        <v/>
      </c>
      <c r="G2" s="438" t="n"/>
      <c r="H2" s="457" t="inlineStr">
        <is>
          <t>เงินสดคงเหลือ ($)</t>
        </is>
      </c>
      <c r="I2" s="438" t="n"/>
      <c r="J2" s="459">
        <f>C2-F2</f>
        <v/>
      </c>
      <c r="K2" s="438" t="n"/>
      <c r="L2" s="457" t="inlineStr">
        <is>
          <t>Max กำไรรวม ($)</t>
        </is>
      </c>
      <c r="M2" s="438" t="n"/>
      <c r="N2" s="458">
        <f>SUM(M4:M9)</f>
        <v/>
      </c>
      <c r="O2" s="460" t="inlineStr">
        <is>
          <t>⚠️ ไม่ใช่คำแนะนำการลงทุน — ใช้เพื่อการศึกษาเท่านั้น</t>
        </is>
      </c>
    </row>
    <row r="3" ht="37.5" customHeight="1" s="350">
      <c r="A3" s="461" t="inlineStr">
        <is>
          <t>#</t>
        </is>
      </c>
      <c r="B3" s="461" t="inlineStr">
        <is>
          <t>หุ้น
(Symbol)</t>
        </is>
      </c>
      <c r="C3" s="461" t="inlineStr">
        <is>
          <t>บริษัท</t>
        </is>
      </c>
      <c r="D3" s="461" t="inlineStr">
        <is>
          <t>P/E
(approx.)</t>
        </is>
      </c>
      <c r="E3" s="461" t="inlineStr">
        <is>
          <t>ราคาเข้า
(Entry $)</t>
        </is>
      </c>
      <c r="F3" s="461" t="inlineStr">
        <is>
          <t>จำนวนหุ้น
(Shares)</t>
        </is>
      </c>
      <c r="G3" s="461" t="inlineStr">
        <is>
          <t>มูลค่าลงทุน ($)</t>
        </is>
      </c>
      <c r="H3" s="461" t="inlineStr">
        <is>
          <t>Stop Loss
($)</t>
        </is>
      </c>
      <c r="I3" s="461" t="inlineStr">
        <is>
          <t>Cut Loss %</t>
        </is>
      </c>
      <c r="J3" s="461" t="inlineStr">
        <is>
          <t>Target Price
($)</t>
        </is>
      </c>
      <c r="K3" s="461" t="inlineStr">
        <is>
          <t>กำไรเป้า %</t>
        </is>
      </c>
      <c r="L3" s="461" t="inlineStr">
        <is>
          <t>R/R</t>
        </is>
      </c>
      <c r="M3" s="461" t="inlineStr">
        <is>
          <t>Max กำไร ($)</t>
        </is>
      </c>
      <c r="N3" s="461" t="inlineStr">
        <is>
          <t>Max ขาดทุน ($)</t>
        </is>
      </c>
      <c r="O3" s="461" t="inlineStr">
        <is>
          <t>กลยุทธ์ / Trade Thesis (3-5 วัน)</t>
        </is>
      </c>
      <c r="P3" s="462" t="inlineStr">
        <is>
          <t>มูลค่าขายรวม
(Sold Total $)</t>
        </is>
      </c>
      <c r="Q3" s="463" t="inlineStr">
        <is>
          <t>กำไร/ขาดทุน
(USD)</t>
        </is>
      </c>
      <c r="R3" s="463" t="inlineStr">
        <is>
          <t>กำไร/ขาดทุน
(%)</t>
        </is>
      </c>
      <c r="S3" s="463" t="inlineStr">
        <is>
          <t>สถานะ</t>
        </is>
      </c>
    </row>
    <row r="4" ht="309.75" customHeight="1" s="350">
      <c r="A4" s="465" t="n">
        <v>1</v>
      </c>
      <c r="B4" s="466" t="inlineStr">
        <is>
          <t>NET</t>
        </is>
      </c>
      <c r="C4" s="467" t="inlineStr">
        <is>
          <t>Cloudflare, Inc.</t>
        </is>
      </c>
      <c r="D4" s="468" t="inlineStr">
        <is>
          <t>N/M</t>
        </is>
      </c>
      <c r="E4" s="469" t="n">
        <v>213.5</v>
      </c>
      <c r="F4" s="470" t="n">
        <v>0.5581</v>
      </c>
      <c r="G4" s="469" t="n">
        <v>120</v>
      </c>
      <c r="H4" s="471" t="n">
        <v>208</v>
      </c>
      <c r="I4" s="472" t="n">
        <v>-0.026</v>
      </c>
      <c r="J4" s="471" t="n">
        <v>220</v>
      </c>
      <c r="K4" s="473" t="n">
        <v>226</v>
      </c>
      <c r="L4" s="474" t="n">
        <v>232</v>
      </c>
      <c r="M4" s="475" t="inlineStr">
        <is>
          <t>1:2.4</t>
        </is>
      </c>
      <c r="N4" s="476" t="n"/>
      <c r="O4" s="477" t="inlineStr">
        <is>
          <t>Single entry — EMA50 1H + RSI 1H oversold | TP1 40% → TP2 40% → TP3 20% | SL -2.6%</t>
        </is>
      </c>
      <c r="P4" s="478" t="n"/>
      <c r="Q4" s="479" t="n"/>
      <c r="R4" s="480" t="n"/>
      <c r="S4" s="481" t="n"/>
    </row>
    <row r="5" ht="75" customHeight="1" s="350">
      <c r="A5" s="484" t="n">
        <v>2</v>
      </c>
      <c r="B5" s="485" t="inlineStr">
        <is>
          <t>MRVL</t>
        </is>
      </c>
      <c r="C5" s="486" t="inlineStr">
        <is>
          <t>Marvell Technology, Inc.</t>
        </is>
      </c>
      <c r="D5" s="487" t="inlineStr">
        <is>
          <t>N/M</t>
        </is>
      </c>
      <c r="E5" s="488" t="n">
        <v>87.5</v>
      </c>
      <c r="F5" s="489" t="n">
        <v>0.9091</v>
      </c>
      <c r="G5" s="490" t="n">
        <v>80</v>
      </c>
      <c r="H5" s="491" t="n">
        <v>84.5</v>
      </c>
      <c r="I5" s="492" t="n">
        <v>-0.034</v>
      </c>
      <c r="J5" s="493" t="n">
        <v>91.5</v>
      </c>
      <c r="K5" s="494" t="n">
        <v>94.5</v>
      </c>
      <c r="L5" s="495" t="n">
        <v>97.5</v>
      </c>
      <c r="M5" s="496" t="inlineStr">
        <is>
          <t>1:2.0</t>
        </is>
      </c>
      <c r="N5" s="497" t="n"/>
      <c r="O5" s="498" t="inlineStr">
        <is>
          <t>Confirm entry: dip $86.50-87.50 RSI&lt;40 OR breakout close&gt;EMA20($88.50) | TP1 50% → TP2 30% → TP3 20% | SL -3.4%</t>
        </is>
      </c>
      <c r="P5" s="478" t="n"/>
      <c r="Q5" s="479" t="n"/>
      <c r="R5" s="480" t="n"/>
      <c r="S5" s="481" t="n"/>
    </row>
    <row r="6" ht="75" customHeight="1" s="350">
      <c r="A6" s="484" t="n"/>
      <c r="B6" s="485" t="n"/>
      <c r="C6" s="486" t="n"/>
      <c r="D6" s="487" t="n"/>
      <c r="E6" s="488" t="n"/>
      <c r="F6" s="489" t="n"/>
      <c r="G6" s="490" t="n"/>
      <c r="H6" s="491" t="n"/>
      <c r="I6" s="492" t="n"/>
      <c r="J6" s="493" t="n"/>
      <c r="K6" s="494" t="n"/>
      <c r="L6" s="495" t="n"/>
      <c r="M6" s="496" t="n"/>
      <c r="N6" s="497" t="n"/>
      <c r="O6" s="498" t="n"/>
      <c r="P6" s="478" t="n"/>
      <c r="Q6" s="479" t="n"/>
      <c r="R6" s="480" t="n"/>
      <c r="S6" s="481" t="n"/>
    </row>
    <row r="7" ht="75" customHeight="1" s="350">
      <c r="A7" s="484" t="n"/>
      <c r="B7" s="485" t="n"/>
      <c r="C7" s="486" t="n"/>
      <c r="D7" s="487" t="n"/>
      <c r="E7" s="488" t="n"/>
      <c r="F7" s="489" t="n"/>
      <c r="G7" s="490" t="n"/>
      <c r="H7" s="491" t="n"/>
      <c r="I7" s="492" t="n"/>
      <c r="J7" s="493" t="n"/>
      <c r="K7" s="494" t="n"/>
      <c r="L7" s="495" t="n"/>
      <c r="M7" s="496" t="n"/>
      <c r="N7" s="497" t="n"/>
      <c r="O7" s="498" t="n"/>
      <c r="P7" s="478" t="n"/>
      <c r="Q7" s="479" t="n"/>
      <c r="R7" s="480" t="n"/>
      <c r="S7" s="481" t="n"/>
    </row>
    <row r="8" ht="75" customHeight="1" s="350">
      <c r="A8" s="484" t="n"/>
      <c r="B8" s="485" t="n"/>
      <c r="C8" s="486" t="n"/>
      <c r="D8" s="487" t="n"/>
      <c r="E8" s="488" t="n"/>
      <c r="F8" s="489" t="n"/>
      <c r="G8" s="490" t="n"/>
      <c r="H8" s="491" t="n"/>
      <c r="I8" s="492" t="n"/>
      <c r="J8" s="493" t="n"/>
      <c r="K8" s="494" t="n"/>
      <c r="L8" s="495" t="n"/>
      <c r="M8" s="496" t="n"/>
      <c r="N8" s="497" t="n"/>
      <c r="O8" s="498" t="n"/>
      <c r="P8" s="478" t="n"/>
      <c r="Q8" s="479">
        <f>IF(AND(ISNUMBER(P8),P8&gt;0),P8-G8,"")</f>
        <v/>
      </c>
      <c r="R8" s="480">
        <f>IF(AND(ISNUMBER(P8),P8&gt;0),(P8-G8)/G8,"")</f>
        <v/>
      </c>
      <c r="S8" s="481">
        <f>IF(AND(ISNUMBER(P8),P8&gt;0),IF(P8-G8&gt;0,"✅ กำไร","🔴 ขาดทุน"),"")</f>
        <v/>
      </c>
    </row>
    <row r="9" ht="75" customHeight="1" s="350">
      <c r="A9" s="484" t="n"/>
      <c r="B9" s="485" t="n"/>
      <c r="C9" s="486" t="n"/>
      <c r="D9" s="487" t="n"/>
      <c r="E9" s="488" t="n"/>
      <c r="F9" s="489" t="n"/>
      <c r="G9" s="490" t="n"/>
      <c r="H9" s="491" t="n"/>
      <c r="I9" s="492" t="n"/>
      <c r="J9" s="493" t="n"/>
      <c r="K9" s="494" t="n"/>
      <c r="L9" s="495" t="n"/>
      <c r="M9" s="496" t="n"/>
      <c r="N9" s="497" t="n"/>
      <c r="O9" s="498" t="n"/>
      <c r="P9" s="478" t="n"/>
      <c r="Q9" s="479">
        <f>IF(AND(ISNUMBER(P9),P9&gt;0),P9-G9,"")</f>
        <v/>
      </c>
      <c r="R9" s="480">
        <f>IF(AND(ISNUMBER(P9),P9&gt;0),(P9-G9)/G9,"")</f>
        <v/>
      </c>
      <c r="S9" s="481">
        <f>IF(AND(ISNUMBER(P9),P9&gt;0),IF(P9-G9&gt;0,"✅ กำไร","🔴 ขาดทุน"),"")</f>
        <v/>
      </c>
    </row>
    <row r="10" ht="24" customHeight="1" s="350">
      <c r="A10" s="499" t="inlineStr">
        <is>
          <t>📊  สรุปรวม — Total Portfolio (Week Trade 3-5 วัน)</t>
        </is>
      </c>
      <c r="B10" s="438" t="n"/>
      <c r="C10" s="438" t="n"/>
      <c r="D10" s="438" t="n"/>
      <c r="E10" s="438" t="n"/>
      <c r="F10" s="438" t="n"/>
      <c r="G10" s="500">
        <f>SUM(G4:G9)</f>
        <v/>
      </c>
      <c r="H10" s="501" t="inlineStr">
        <is>
          <t>⬅ Avg R/R ➡</t>
        </is>
      </c>
      <c r="I10" s="438" t="n"/>
      <c r="J10" s="438" t="n"/>
      <c r="K10" s="438" t="n"/>
      <c r="L10" s="502">
        <f>AVERAGE(L4:L9)</f>
        <v/>
      </c>
      <c r="M10" s="503">
        <f>SUM(M4:M9)</f>
        <v/>
      </c>
      <c r="N10" s="504">
        <f>SUM(N4:N9)</f>
        <v/>
      </c>
      <c r="O10" s="505" t="inlineStr">
        <is>
          <t>⚡ ข้อมูลวิเคราะห์ 20 มี.ค. 2026 — ไม่ใช่คำแนะนำการลงทุน</t>
        </is>
      </c>
      <c r="P10" s="506">
        <f>SUM(P4:P9)</f>
        <v/>
      </c>
      <c r="Q10" s="507">
        <f>SUM(Q4:Q9)</f>
        <v/>
      </c>
      <c r="R10" s="508">
        <f>IFERROR(SUM(Q4:Q9)/SUM(G4:G9),"")</f>
        <v/>
      </c>
      <c r="S10" s="509">
        <f>IF(SUM(Q4:Q9)&gt;0,"✅ กำไรรวม","🔴 ขาดทุนรวม")</f>
        <v/>
      </c>
    </row>
  </sheetData>
  <mergeCells count="9">
    <mergeCell ref="L2:M2"/>
    <mergeCell ref="F2:G2"/>
    <mergeCell ref="A2:B2"/>
    <mergeCell ref="H2:I2"/>
    <mergeCell ref="A10:F10"/>
    <mergeCell ref="D2:E2"/>
    <mergeCell ref="J2:K2"/>
    <mergeCell ref="A1:O1"/>
    <mergeCell ref="H10:K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10" activeCellId="0" sqref="E10"/>
    </sheetView>
  </sheetViews>
  <sheetFormatPr baseColWidth="8" defaultColWidth="8.66796875" defaultRowHeight="15" customHeight="1" zeroHeight="0" outlineLevelRow="0"/>
  <cols>
    <col width="38" customWidth="1" style="349" min="1" max="2"/>
    <col width="15" customWidth="1" style="349" min="3" max="3"/>
    <col width="10" customWidth="1" style="349" min="4" max="4"/>
    <col width="16" customWidth="1" style="349" min="5" max="5"/>
    <col width="14" customWidth="1" style="349" min="6" max="6"/>
    <col width="16" customWidth="1" style="349" min="7" max="8"/>
    <col width="10" customWidth="1" style="349" min="9" max="9"/>
  </cols>
  <sheetData>
    <row r="1" ht="30" customHeight="1" s="350">
      <c r="A1" s="512" t="inlineStr">
        <is>
          <t>📊  รายการลงทุนทั้งหมด</t>
        </is>
      </c>
      <c r="B1" s="352" t="n"/>
      <c r="C1" s="352" t="n"/>
      <c r="D1" s="352" t="n"/>
      <c r="E1" s="352" t="n"/>
      <c r="F1" s="352" t="n"/>
      <c r="G1" s="352" t="n"/>
      <c r="H1" s="352" t="n"/>
      <c r="I1" s="353" t="n"/>
    </row>
    <row r="2" ht="21.75" customHeight="1" s="350">
      <c r="A2" s="513" t="inlineStr">
        <is>
          <t>ธนาคาร / โบรก</t>
        </is>
      </c>
      <c r="B2" s="513" t="inlineStr">
        <is>
          <t>ประเภท / ชื่อ</t>
        </is>
      </c>
      <c r="C2" s="513" t="inlineStr">
        <is>
          <t>มูลค่า (บาท)</t>
        </is>
      </c>
    </row>
    <row r="3" ht="21.75" customHeight="1" s="350">
      <c r="A3" s="514" t="inlineStr">
        <is>
          <t>-</t>
        </is>
      </c>
      <c r="B3" s="514" t="inlineStr">
        <is>
          <t>🏛️  กองทุนสำรองเลี้ยงชีพ</t>
        </is>
      </c>
      <c r="C3" s="515" t="n">
        <v>174117.7</v>
      </c>
    </row>
    <row r="4" ht="21.75" customHeight="1" s="350">
      <c r="A4" s="514" t="inlineStr">
        <is>
          <t>Kept</t>
        </is>
      </c>
      <c r="B4" s="514" t="inlineStr">
        <is>
          <t>เงินเก็บ</t>
        </is>
      </c>
      <c r="C4" s="516" t="n">
        <v>100000</v>
      </c>
    </row>
    <row r="5" ht="21.75" customHeight="1" s="350">
      <c r="A5" s="514" t="inlineStr">
        <is>
          <t>SCBAM</t>
        </is>
      </c>
      <c r="B5" s="514" t="inlineStr">
        <is>
          <t>S&amp;P500E</t>
        </is>
      </c>
      <c r="C5" s="516" t="n">
        <v>180493</v>
      </c>
    </row>
    <row r="6" ht="21.75" customHeight="1" s="350">
      <c r="A6" s="514" t="inlineStr">
        <is>
          <t>SCBAM</t>
        </is>
      </c>
      <c r="B6" s="514" t="inlineStr">
        <is>
          <t>Gold</t>
        </is>
      </c>
      <c r="C6" s="516" t="n">
        <v>0</v>
      </c>
    </row>
    <row r="7" ht="18" customHeight="1" s="350">
      <c r="A7" s="514" t="inlineStr">
        <is>
          <t>Dime</t>
        </is>
      </c>
      <c r="B7" s="514" t="inlineStr">
        <is>
          <t>หุ้นเมกา  (รวม)</t>
        </is>
      </c>
      <c r="C7" s="516" t="n">
        <v>374310.35</v>
      </c>
    </row>
    <row r="8" ht="18" customHeight="1" s="350">
      <c r="A8" s="517" t="n"/>
      <c r="B8" s="517" t="inlineStr">
        <is>
          <t xml:space="preserve">  ├  VOO</t>
        </is>
      </c>
      <c r="C8" s="518" t="n">
        <v>56887.88</v>
      </c>
    </row>
    <row r="9" ht="18" customHeight="1" s="350">
      <c r="A9" s="517" t="n"/>
      <c r="B9" s="517" t="inlineStr">
        <is>
          <t xml:space="preserve">  ├  QQQM</t>
        </is>
      </c>
      <c r="C9" s="518" t="n">
        <v>45184.8</v>
      </c>
    </row>
    <row r="10" ht="18" customHeight="1" s="350">
      <c r="A10" s="517" t="n"/>
      <c r="B10" s="517" t="inlineStr">
        <is>
          <t xml:space="preserve">  ├  SCHD</t>
        </is>
      </c>
      <c r="C10" s="518" t="n">
        <v>45756.39</v>
      </c>
    </row>
    <row r="11" ht="18" customHeight="1" s="350">
      <c r="A11" s="517" t="n"/>
      <c r="B11" s="517" t="inlineStr">
        <is>
          <t xml:space="preserve">  ├  SMH</t>
        </is>
      </c>
      <c r="C11" s="518" t="n">
        <v>11264.88</v>
      </c>
    </row>
    <row r="12" ht="18" customHeight="1" s="350">
      <c r="A12" s="517" t="n"/>
      <c r="B12" s="517" t="inlineStr">
        <is>
          <t xml:space="preserve">  ├  VXUS</t>
        </is>
      </c>
      <c r="C12" s="518" t="n">
        <v>7331.18</v>
      </c>
    </row>
    <row r="13" ht="21.75" customHeight="1" s="350">
      <c r="A13" s="517" t="n"/>
      <c r="B13" s="517" t="inlineStr">
        <is>
          <t xml:space="preserve">  └  หุ้นรายตัว</t>
        </is>
      </c>
      <c r="C13" s="519">
        <f>C7-C8-C9-C10-C11-C12</f>
        <v/>
      </c>
    </row>
    <row r="14" ht="21.75" customHeight="1" s="350">
      <c r="A14" s="514" t="inlineStr">
        <is>
          <t>Dime</t>
        </is>
      </c>
      <c r="B14" s="514" t="inlineStr">
        <is>
          <t>ESG  (หุ้นไทย)</t>
        </is>
      </c>
      <c r="C14" s="516" t="n">
        <v>16649.91</v>
      </c>
    </row>
    <row r="15" ht="21.75" customHeight="1" s="350">
      <c r="A15" s="514" t="inlineStr">
        <is>
          <t>Dime</t>
        </is>
      </c>
      <c r="B15" s="514" t="inlineStr">
        <is>
          <t>Gold</t>
        </is>
      </c>
      <c r="C15" s="516" t="n">
        <v>46456.45</v>
      </c>
    </row>
    <row r="16" ht="24" customHeight="1" s="350">
      <c r="A16" s="514" t="inlineStr">
        <is>
          <t>Bitkup</t>
        </is>
      </c>
      <c r="B16" s="514" t="inlineStr">
        <is>
          <t>Bitcoin</t>
        </is>
      </c>
      <c r="C16" s="516" t="n">
        <v>12525.14</v>
      </c>
    </row>
    <row r="17" ht="21.75" customHeight="1" s="350">
      <c r="A17" s="520" t="inlineStr">
        <is>
          <t>รวมทั้งหมด</t>
        </is>
      </c>
      <c r="B17" s="521" t="n"/>
      <c r="C17" s="522">
        <f>C3+C4+C5+C6+C7+C14+C15+C16</f>
        <v/>
      </c>
    </row>
    <row r="18" ht="30" customHeight="1" s="350"/>
    <row r="19" ht="21.75" customHeight="1" s="350">
      <c r="A19" s="512" t="inlineStr">
        <is>
          <t>🎯  สัดส่วนการลงทุน (ปัจจุบัน)</t>
        </is>
      </c>
      <c r="B19" s="352" t="n"/>
      <c r="C19" s="352" t="n"/>
      <c r="D19" s="352" t="n"/>
      <c r="E19" s="352" t="n"/>
      <c r="F19" s="352" t="n"/>
      <c r="G19" s="352" t="n"/>
      <c r="H19" s="352" t="n"/>
      <c r="I19" s="353" t="n"/>
    </row>
    <row r="20" ht="21.75" customHeight="1" s="350">
      <c r="A20" s="513" t="inlineStr">
        <is>
          <t>กลุ่ม</t>
        </is>
      </c>
      <c r="B20" s="513" t="inlineStr">
        <is>
          <t>รายการที่นับ</t>
        </is>
      </c>
      <c r="C20" s="513" t="inlineStr">
        <is>
          <t>มูลค่า (บาท)</t>
        </is>
      </c>
      <c r="D20" s="513" t="inlineStr">
        <is>
          <t>% ของพอร์ต</t>
        </is>
      </c>
    </row>
    <row r="21" ht="21.75" customHeight="1" s="350">
      <c r="A21" s="523" t="inlineStr">
        <is>
          <t>🏦 เงินสำรอง</t>
        </is>
      </c>
      <c r="B21" s="524" t="inlineStr">
        <is>
          <t>เงินเก็บ (Kept)</t>
        </is>
      </c>
      <c r="C21" s="525">
        <f>C4</f>
        <v/>
      </c>
      <c r="D21" s="526">
        <f>C21/$C$17</f>
        <v/>
      </c>
    </row>
    <row r="22" ht="21.75" customHeight="1" s="350">
      <c r="A22" s="527" t="inlineStr">
        <is>
          <t>📈 Core</t>
        </is>
      </c>
      <c r="B22" s="528" t="inlineStr">
        <is>
          <t>S&amp;P500E + หุ้นเมกา − Satellite − Thematic − Dividend − นอกเมกา</t>
        </is>
      </c>
      <c r="C22" s="529">
        <f>C5+C7-C13-C11-C10-C12</f>
        <v/>
      </c>
      <c r="D22" s="530">
        <f>C22/$C$17</f>
        <v/>
      </c>
    </row>
    <row r="23" ht="21.75" customHeight="1" s="350">
      <c r="A23" s="531" t="inlineStr">
        <is>
          <t>🎯 Satellite</t>
        </is>
      </c>
      <c r="B23" s="532" t="inlineStr">
        <is>
          <t>หุ้นรายตัว (Dime)</t>
        </is>
      </c>
      <c r="C23" s="533">
        <f>C13</f>
        <v/>
      </c>
      <c r="D23" s="534">
        <f>C23/$C$17</f>
        <v/>
      </c>
    </row>
    <row r="24" ht="21.75" customHeight="1" s="350">
      <c r="A24" s="535" t="inlineStr">
        <is>
          <t>🔬 Thematic</t>
        </is>
      </c>
      <c r="B24" s="536" t="inlineStr">
        <is>
          <t>SMH (Dime)</t>
        </is>
      </c>
      <c r="C24" s="537">
        <f>C11</f>
        <v/>
      </c>
      <c r="D24" s="538">
        <f>C24/$C$17</f>
        <v/>
      </c>
    </row>
    <row r="25" ht="21.75" customHeight="1" s="350">
      <c r="A25" s="539" t="inlineStr">
        <is>
          <t>💰 Dividend</t>
        </is>
      </c>
      <c r="B25" s="540" t="inlineStr">
        <is>
          <t>SCHD (Dime)</t>
        </is>
      </c>
      <c r="C25" s="541">
        <f>C10</f>
        <v/>
      </c>
      <c r="D25" s="542">
        <f>C25/$C$17</f>
        <v/>
      </c>
    </row>
    <row r="26" ht="21.75" customHeight="1" s="350">
      <c r="A26" s="543" t="inlineStr">
        <is>
          <t>🌍 หุ้นนอกเมกา</t>
        </is>
      </c>
      <c r="B26" s="544" t="inlineStr">
        <is>
          <t>VXUS (Dime)</t>
        </is>
      </c>
      <c r="C26" s="545">
        <f>C12</f>
        <v/>
      </c>
      <c r="D26" s="546">
        <f>C26/$C$17</f>
        <v/>
      </c>
    </row>
    <row r="27" ht="21.75" customHeight="1" s="350">
      <c r="A27" s="547" t="inlineStr">
        <is>
          <t>🥇 Gold</t>
        </is>
      </c>
      <c r="B27" s="548" t="inlineStr">
        <is>
          <t>SCBAM Gold + Dime Gold</t>
        </is>
      </c>
      <c r="C27" s="549">
        <f>C6+C15</f>
        <v/>
      </c>
      <c r="D27" s="550">
        <f>C27/$C$17</f>
        <v/>
      </c>
    </row>
    <row r="28" ht="21.75" customHeight="1" s="350">
      <c r="A28" s="551" t="inlineStr">
        <is>
          <t>₿ Bitcoin</t>
        </is>
      </c>
      <c r="B28" s="552" t="inlineStr">
        <is>
          <t>Bitcoin (Bitkup)</t>
        </is>
      </c>
      <c r="C28" s="553">
        <f>C16</f>
        <v/>
      </c>
      <c r="D28" s="554">
        <f>C28/$C$17</f>
        <v/>
      </c>
    </row>
    <row r="29" ht="24" customHeight="1" s="350">
      <c r="A29" s="555" t="inlineStr">
        <is>
          <t>🇹🇭 หุ้นไทย</t>
        </is>
      </c>
      <c r="B29" s="556" t="inlineStr">
        <is>
          <t>ESG (Dime)</t>
        </is>
      </c>
      <c r="C29" s="557">
        <f>C14</f>
        <v/>
      </c>
      <c r="D29" s="558">
        <f>C29/$C$17</f>
        <v/>
      </c>
    </row>
    <row r="30" ht="21.75" customHeight="1" s="350">
      <c r="A30" s="523" t="inlineStr">
        <is>
          <t>🏛️ กองทุนสำรองฯ</t>
        </is>
      </c>
      <c r="B30" s="524" t="inlineStr">
        <is>
          <t>กองทุนสำรองเลี้ยงชีพ (ถอนได้เมื่อลาออก)</t>
        </is>
      </c>
      <c r="C30" s="525">
        <f>C3</f>
        <v/>
      </c>
      <c r="D30" s="526">
        <f>C30/$C$17</f>
        <v/>
      </c>
    </row>
    <row r="31" ht="30" customHeight="1" s="350">
      <c r="A31" s="559" t="inlineStr">
        <is>
          <t>รวม</t>
        </is>
      </c>
      <c r="B31" s="352" t="n"/>
      <c r="C31" s="560">
        <f>C21+C22+C23+C24+C25+C26+C27+C28+C29+C30</f>
        <v/>
      </c>
      <c r="D31" s="560">
        <f>D21+D22+D23+D24+D25+D26+D27+D28+D29+D30</f>
        <v/>
      </c>
      <c r="E31" s="561" t="n"/>
      <c r="F31" s="561" t="n"/>
      <c r="G31" s="561" t="n"/>
      <c r="H31" s="561" t="n"/>
    </row>
    <row r="32" ht="34.5" customHeight="1" s="350"/>
    <row r="33" ht="27.75" customHeight="1" s="350">
      <c r="A33" s="562" t="inlineStr">
        <is>
          <t>📐  แผน DCA — ปรับสัดส่วนเข้าเป้าทีละเดือน</t>
        </is>
      </c>
      <c r="B33" s="352" t="n"/>
      <c r="C33" s="352" t="n"/>
      <c r="D33" s="352" t="n"/>
      <c r="E33" s="352" t="n"/>
      <c r="F33" s="352" t="n"/>
      <c r="G33" s="352" t="n"/>
      <c r="H33" s="352" t="n"/>
      <c r="I33" s="353" t="n"/>
    </row>
    <row r="34" ht="24" customHeight="1" s="350">
      <c r="A34" s="563" t="inlineStr">
        <is>
          <t xml:space="preserve">  💰 เงินลงทุน/เดือน จากพอร์ต (ชีท 1)</t>
        </is>
      </c>
      <c r="B34" s="564">
        <f>'รายรับ-รายจ่าย'!B28</f>
        <v/>
      </c>
      <c r="C34" s="565" t="n"/>
      <c r="D34" s="566" t="n"/>
      <c r="E34" s="566" t="n"/>
      <c r="F34" s="566" t="n"/>
      <c r="G34" s="566" t="n"/>
      <c r="H34" s="566" t="n"/>
      <c r="I34" s="566" t="n"/>
    </row>
    <row r="35" ht="24" customHeight="1" s="350">
      <c r="A35" s="362" t="inlineStr">
        <is>
          <t>กลุ่ม</t>
        </is>
      </c>
      <c r="B35" s="362" t="inlineStr">
        <is>
          <t>มูลค่า (บาท)</t>
        </is>
      </c>
      <c r="C35" s="362" t="inlineStr">
        <is>
          <t>% ปัจจุบัน</t>
        </is>
      </c>
      <c r="D35" s="362" t="inlineStr">
        <is>
          <t>เป้าหมาย %</t>
        </is>
      </c>
      <c r="E35" s="362" t="inlineStr">
        <is>
          <t>ขาดอีก (บาท)</t>
        </is>
      </c>
      <c r="F35" s="567" t="inlineStr">
        <is>
          <t>แม่ช่วย (บาท)</t>
        </is>
      </c>
      <c r="G35" s="362" t="inlineStr">
        <is>
          <t>DCA จากพอร์ต (บาท)</t>
        </is>
      </c>
      <c r="H35" s="362" t="inlineStr">
        <is>
          <t>รวม DCA/เดือน (บาท)</t>
        </is>
      </c>
      <c r="I35" s="568" t="inlineStr">
        <is>
          <t>✓ DCA
แล้ว?</t>
        </is>
      </c>
    </row>
    <row r="36" ht="24" customHeight="1" s="350">
      <c r="A36" s="523" t="inlineStr">
        <is>
          <t>🏦 เงินสำรอง</t>
        </is>
      </c>
      <c r="B36" s="560">
        <f>C21</f>
        <v/>
      </c>
      <c r="C36" s="526">
        <f>D21</f>
        <v/>
      </c>
      <c r="D36" s="569" t="n">
        <v>0.1</v>
      </c>
      <c r="E36" s="560">
        <f>MAX(0,D36*($C$17-$C$3)-B36)</f>
        <v/>
      </c>
      <c r="F36" s="570" t="n">
        <v>0</v>
      </c>
      <c r="G36" s="560">
        <f>MROUND(IFERROR(IF(E36&gt;0,E36/(SUM($E$36)+SUM($E$38:$E$39)+SUM($E$41:$E$43))*($B$34-$G$40-$G$37),0),0),1000)</f>
        <v/>
      </c>
      <c r="H36" s="571">
        <f>F36+G36</f>
        <v/>
      </c>
      <c r="I36" s="572" t="inlineStr">
        <is>
          <t>—</t>
        </is>
      </c>
    </row>
    <row r="37" ht="24" customHeight="1" s="350">
      <c r="A37" s="527" t="inlineStr">
        <is>
          <t>📈 Core</t>
        </is>
      </c>
      <c r="B37" s="573">
        <f>C22</f>
        <v/>
      </c>
      <c r="C37" s="530">
        <f>D22</f>
        <v/>
      </c>
      <c r="D37" s="574" t="n">
        <v>0.4</v>
      </c>
      <c r="E37" s="573">
        <f>MAX(0,D37*($C$17-$C$3)-B37)</f>
        <v/>
      </c>
      <c r="F37" s="575" t="n">
        <v>0</v>
      </c>
      <c r="G37" s="573" t="n">
        <v>4000</v>
      </c>
      <c r="H37" s="576">
        <f>F37+G37</f>
        <v/>
      </c>
      <c r="I37" s="572" t="inlineStr">
        <is>
          <t>—</t>
        </is>
      </c>
    </row>
    <row r="38" ht="24" customHeight="1" s="350">
      <c r="A38" s="531" t="inlineStr">
        <is>
          <t>🎯 Satellite</t>
        </is>
      </c>
      <c r="B38" s="577">
        <f>C23</f>
        <v/>
      </c>
      <c r="C38" s="534">
        <f>D23</f>
        <v/>
      </c>
      <c r="D38" s="578" t="n">
        <v>0.15</v>
      </c>
      <c r="E38" s="577">
        <f>MAX(0,D38*($C$17-$C$3)-B38)</f>
        <v/>
      </c>
      <c r="F38" s="579" t="n">
        <v>0</v>
      </c>
      <c r="G38" s="577">
        <f>MROUND(IFERROR(IF(E38&gt;0,E38/(SUM($E$36)+SUM($E$38:$E$39)+SUM($E$41:$E$43))*($B$34-$G$40-$G$37),0),0),1000)</f>
        <v/>
      </c>
      <c r="H38" s="580">
        <f>F38+G38</f>
        <v/>
      </c>
      <c r="I38" s="572" t="inlineStr">
        <is>
          <t>—</t>
        </is>
      </c>
    </row>
    <row r="39" ht="24" customHeight="1" s="350">
      <c r="A39" s="535" t="inlineStr">
        <is>
          <t>🔬 Thematic</t>
        </is>
      </c>
      <c r="B39" s="581">
        <f>C24</f>
        <v/>
      </c>
      <c r="C39" s="538">
        <f>D24</f>
        <v/>
      </c>
      <c r="D39" s="582" t="n">
        <v>0.05</v>
      </c>
      <c r="E39" s="581">
        <f>MAX(0,D39*($C$17-$C$3)-B39)</f>
        <v/>
      </c>
      <c r="F39" s="583" t="n">
        <v>0</v>
      </c>
      <c r="G39" s="581">
        <f>MROUND(IFERROR(IF(E39&gt;0,E39/(SUM($E$36)+SUM($E$38:$E$39)+SUM($E$41:$E$43))*($B$34-$G$40-$G$37),0),0),1000)</f>
        <v/>
      </c>
      <c r="H39" s="584">
        <f>F39+G39</f>
        <v/>
      </c>
      <c r="I39" s="572" t="inlineStr">
        <is>
          <t>—</t>
        </is>
      </c>
    </row>
    <row r="40" ht="24" customHeight="1" s="350">
      <c r="A40" s="539" t="inlineStr">
        <is>
          <t>💰 Dividend</t>
        </is>
      </c>
      <c r="B40" s="585">
        <f>C25</f>
        <v/>
      </c>
      <c r="C40" s="542">
        <f>D25</f>
        <v/>
      </c>
      <c r="D40" s="586" t="n">
        <v>0.1</v>
      </c>
      <c r="E40" s="585">
        <f>MAX(0,D40*($C$17-$C$3)-B40)</f>
        <v/>
      </c>
      <c r="F40" s="587" t="n">
        <v>3000</v>
      </c>
      <c r="G40" s="588" t="n">
        <v>3000</v>
      </c>
      <c r="H40" s="589">
        <f>F40+G40</f>
        <v/>
      </c>
      <c r="I40" s="572" t="inlineStr">
        <is>
          <t>—</t>
        </is>
      </c>
    </row>
    <row r="41" ht="24" customHeight="1" s="350">
      <c r="A41" s="543" t="inlineStr">
        <is>
          <t>🌍 หุ้นนอกเมกา</t>
        </is>
      </c>
      <c r="B41" s="590">
        <f>C26</f>
        <v/>
      </c>
      <c r="C41" s="546">
        <f>D26</f>
        <v/>
      </c>
      <c r="D41" s="591" t="n">
        <v>0.05</v>
      </c>
      <c r="E41" s="590">
        <f>MAX(0,D41*($C$17-$C$3)-B41)</f>
        <v/>
      </c>
      <c r="F41" s="592" t="n">
        <v>0</v>
      </c>
      <c r="G41" s="590">
        <f>MROUND(IFERROR(IF(E41&gt;0,E41/(SUM($E$36)+SUM($E$38:$E$39)+SUM($E$41:$E$43))*($B$34-$G$40-$G$37),0),0),1000)</f>
        <v/>
      </c>
      <c r="H41" s="593">
        <f>F41+G41</f>
        <v/>
      </c>
      <c r="I41" s="572" t="inlineStr">
        <is>
          <t>—</t>
        </is>
      </c>
    </row>
    <row r="42" ht="24" customHeight="1" s="350">
      <c r="A42" s="547" t="inlineStr">
        <is>
          <t>🥇 Gold</t>
        </is>
      </c>
      <c r="B42" s="594">
        <f>C27</f>
        <v/>
      </c>
      <c r="C42" s="550">
        <f>D27</f>
        <v/>
      </c>
      <c r="D42" s="595" t="n">
        <v>0.05</v>
      </c>
      <c r="E42" s="594">
        <f>MAX(0,D42*($C$17-$C$3)-B42)</f>
        <v/>
      </c>
      <c r="F42" s="596" t="n">
        <v>3000</v>
      </c>
      <c r="G42" s="594">
        <f>MROUND(IFERROR(IF(E42&gt;0,E42/(SUM($E$36)+SUM($E$38:$E$39)+SUM($E$41:$E$43))*($B$34-$G$40-$G$37),0),0),1000)</f>
        <v/>
      </c>
      <c r="H42" s="597">
        <f>F42+G42</f>
        <v/>
      </c>
      <c r="I42" s="572" t="inlineStr">
        <is>
          <t>—</t>
        </is>
      </c>
    </row>
    <row r="43" ht="25.5" customHeight="1" s="350">
      <c r="A43" s="551" t="inlineStr">
        <is>
          <t>₿ Bitcoin</t>
        </is>
      </c>
      <c r="B43" s="598">
        <f>C28</f>
        <v/>
      </c>
      <c r="C43" s="554">
        <f>D28</f>
        <v/>
      </c>
      <c r="D43" s="599" t="n">
        <v>0.05</v>
      </c>
      <c r="E43" s="598">
        <f>MAX(0,D43*($C$17-$C$3)-B43)</f>
        <v/>
      </c>
      <c r="F43" s="600" t="n">
        <v>0</v>
      </c>
      <c r="G43" s="598">
        <f>MROUND(IFERROR(IF(E43&gt;0,E43/(SUM($E$36)+SUM($E$38:$E$39)+SUM($E$41:$E$43))*($B$34-$G$40-$G$37),0),0),1000)</f>
        <v/>
      </c>
      <c r="H43" s="601">
        <f>F43+G43</f>
        <v/>
      </c>
      <c r="I43" s="572" t="inlineStr">
        <is>
          <t>—</t>
        </is>
      </c>
    </row>
    <row r="44" ht="17.25" customHeight="1" s="350">
      <c r="A44" s="555" t="inlineStr">
        <is>
          <t>🇹🇭 หุ้นไทย</t>
        </is>
      </c>
      <c r="B44" s="602">
        <f>C29</f>
        <v/>
      </c>
      <c r="C44" s="558">
        <f>D29</f>
        <v/>
      </c>
      <c r="D44" s="603" t="n">
        <v>0.05</v>
      </c>
      <c r="E44" s="602">
        <f>MAX(0,D44*($C$17-$C$3)-B44)</f>
        <v/>
      </c>
      <c r="F44" s="604" t="n">
        <v>0</v>
      </c>
      <c r="G44" s="602">
        <f>MAX(0,$B$34-$G$37-$G$40-(SUM($G$36)+SUM($G$38:$G$39)+SUM($G$41:$G$43)))</f>
        <v/>
      </c>
      <c r="H44" s="605">
        <f>F44+G44</f>
        <v/>
      </c>
      <c r="I44" s="572" t="inlineStr">
        <is>
          <t>—</t>
        </is>
      </c>
    </row>
    <row r="45" ht="21.75" customHeight="1" s="350">
      <c r="A45" s="606" t="inlineStr">
        <is>
          <t>รวม</t>
        </is>
      </c>
      <c r="B45" s="607" t="n"/>
      <c r="C45" s="607" t="n"/>
      <c r="D45" s="608">
        <f>SUM(D36:D44)</f>
        <v/>
      </c>
      <c r="E45" s="609">
        <f>SUM(E36:E44)</f>
        <v/>
      </c>
      <c r="F45" s="609">
        <f>SUM(F36:F44)</f>
        <v/>
      </c>
      <c r="G45" s="609">
        <f>SUM(G36:G44)</f>
        <v/>
      </c>
      <c r="H45" s="609">
        <f>SUM(H36:H44)</f>
        <v/>
      </c>
      <c r="I45" s="607" t="n"/>
    </row>
  </sheetData>
  <mergeCells count="4">
    <mergeCell ref="A1:I1"/>
    <mergeCell ref="A31:B31"/>
    <mergeCell ref="A19:I19"/>
    <mergeCell ref="A33:I33"/>
  </mergeCells>
  <dataValidations count="1">
    <dataValidation sqref="I34:I42" showDropDown="0" showInputMessage="0" showErrorMessage="0" allowBlank="1" type="list" errorStyle="stop" operator="between">
      <formula1>"✓,—"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21" activeCellId="0" sqref="G21"/>
    </sheetView>
  </sheetViews>
  <sheetFormatPr baseColWidth="8" defaultColWidth="8.66796875" defaultRowHeight="15" customHeight="1" zeroHeight="0" outlineLevelRow="0"/>
  <cols>
    <col width="26" customWidth="1" style="349" min="1" max="1"/>
    <col width="16" customWidth="1" style="349" min="2" max="5"/>
  </cols>
  <sheetData>
    <row r="1" ht="36" customHeight="1" s="350">
      <c r="A1" s="610" t="inlineStr">
        <is>
          <t>💹  กำไรต่อปี — บันทึกการซื้อขายหุ้น</t>
        </is>
      </c>
      <c r="B1" s="352" t="n"/>
      <c r="C1" s="352" t="n"/>
      <c r="D1" s="352" t="n"/>
      <c r="E1" s="352" t="n"/>
    </row>
    <row r="2" ht="25.5" customHeight="1" s="350">
      <c r="A2" s="611" t="inlineStr">
        <is>
          <t xml:space="preserve">  💱 อัตราแลกเปลี่ยน USD/THB</t>
        </is>
      </c>
      <c r="B2" s="352" t="n"/>
      <c r="C2" s="352" t="n"/>
      <c r="D2" s="352" t="n"/>
      <c r="E2" s="612" t="n">
        <v>32.66</v>
      </c>
    </row>
    <row r="3" ht="6" customHeight="1" s="350"/>
    <row r="4" ht="25.5" customHeight="1" s="350">
      <c r="A4" s="613" t="inlineStr">
        <is>
          <t xml:space="preserve">  ชื่อหุ้น</t>
        </is>
      </c>
      <c r="B4" s="614" t="inlineStr">
        <is>
          <t>ต้นทุนรวม (USD)</t>
        </is>
      </c>
      <c r="C4" s="614" t="inlineStr">
        <is>
          <t>ราคาขาย (USD)</t>
        </is>
      </c>
      <c r="D4" s="614" t="inlineStr">
        <is>
          <t>กำไร/ขาดทุน (USD)</t>
        </is>
      </c>
      <c r="E4" s="614" t="inlineStr">
        <is>
          <t>กำไร/ขาดทุน (THB)</t>
        </is>
      </c>
    </row>
    <row r="5" ht="21.75" customHeight="1" s="350">
      <c r="A5" s="615" t="inlineStr">
        <is>
          <t>CRWD</t>
        </is>
      </c>
      <c r="B5" s="616" t="n">
        <v>374.53</v>
      </c>
      <c r="C5" s="616" t="n">
        <v>379.8</v>
      </c>
      <c r="D5" s="617">
        <f>C5-B5</f>
        <v/>
      </c>
      <c r="E5" s="618">
        <f>D5*$E$2</f>
        <v/>
      </c>
    </row>
    <row r="6" ht="21.75" customHeight="1" s="350">
      <c r="A6" s="619" t="inlineStr">
        <is>
          <t>NFLX</t>
        </is>
      </c>
      <c r="B6" s="620" t="n">
        <v>676.17</v>
      </c>
      <c r="C6" s="620" t="n">
        <v>672.12</v>
      </c>
      <c r="D6" s="621">
        <f>C6-B6</f>
        <v/>
      </c>
      <c r="E6" s="622">
        <f>D6*$E$2</f>
        <v/>
      </c>
    </row>
    <row r="7" ht="21.75" customHeight="1" s="350">
      <c r="A7" s="615" t="inlineStr">
        <is>
          <t>SNDK</t>
        </is>
      </c>
      <c r="B7" s="616" t="n">
        <v>80</v>
      </c>
      <c r="C7" s="616" t="n">
        <v>86</v>
      </c>
      <c r="D7" s="617">
        <f>C7-B7</f>
        <v/>
      </c>
      <c r="E7" s="618">
        <f>D7*$E$2</f>
        <v/>
      </c>
    </row>
    <row r="8" ht="21.75" customHeight="1" s="350">
      <c r="A8" s="619" t="inlineStr">
        <is>
          <t>HOOD</t>
        </is>
      </c>
      <c r="B8" s="620" t="n">
        <v>163.53</v>
      </c>
      <c r="C8" s="620" t="n">
        <v>161.73</v>
      </c>
      <c r="D8" s="621">
        <f>C8-B8</f>
        <v/>
      </c>
      <c r="E8" s="622">
        <f>D8*$E$2</f>
        <v/>
      </c>
    </row>
    <row r="9" ht="21.75" customHeight="1" s="350">
      <c r="A9" s="615" t="inlineStr">
        <is>
          <t>RKLB</t>
        </is>
      </c>
      <c r="B9" s="616" t="n">
        <v>65.84999999999999</v>
      </c>
      <c r="C9" s="616" t="n">
        <v>69.54000000000001</v>
      </c>
      <c r="D9" s="617">
        <f>C9-B9</f>
        <v/>
      </c>
      <c r="E9" s="618">
        <f>D9*$E$2</f>
        <v/>
      </c>
    </row>
    <row r="10" ht="21.75" customHeight="1" s="350">
      <c r="A10" s="619" t="inlineStr">
        <is>
          <t>ASTS</t>
        </is>
      </c>
      <c r="B10" s="620" t="n">
        <v>60</v>
      </c>
      <c r="C10" s="620" t="n">
        <v>65.63</v>
      </c>
      <c r="D10" s="621">
        <f>C10-B10</f>
        <v/>
      </c>
      <c r="E10" s="622">
        <f>D10*$E$2</f>
        <v/>
      </c>
    </row>
    <row r="11" ht="21.75" customHeight="1" s="350">
      <c r="A11" s="615" t="inlineStr">
        <is>
          <t>EOSE</t>
        </is>
      </c>
      <c r="B11" s="616" t="n">
        <v>82.91</v>
      </c>
      <c r="C11" s="616" t="n">
        <v>65.84999999999999</v>
      </c>
      <c r="D11" s="617">
        <f>C11-B11</f>
        <v/>
      </c>
      <c r="E11" s="618">
        <f>D11*$E$2</f>
        <v/>
      </c>
    </row>
    <row r="12" ht="21.75" customHeight="1" s="350">
      <c r="A12" s="619" t="inlineStr">
        <is>
          <t>CLPT</t>
        </is>
      </c>
      <c r="B12" s="620" t="n">
        <v>90.72</v>
      </c>
      <c r="C12" s="620" t="n">
        <v>99.27</v>
      </c>
      <c r="D12" s="621">
        <f>C12-B12</f>
        <v/>
      </c>
      <c r="E12" s="622">
        <f>D12*$E$2</f>
        <v/>
      </c>
    </row>
    <row r="13" ht="21.75" customHeight="1" s="350">
      <c r="A13" s="615" t="inlineStr">
        <is>
          <t xml:space="preserve">TSM  </t>
        </is>
      </c>
      <c r="B13" s="616" t="n">
        <v>300</v>
      </c>
      <c r="C13" s="616">
        <f>110.63+214.03</f>
        <v/>
      </c>
      <c r="D13" s="617">
        <f>C13-B13</f>
        <v/>
      </c>
      <c r="E13" s="618">
        <f>D13*$E$2</f>
        <v/>
      </c>
    </row>
    <row r="14" ht="21.75" customHeight="1" s="350">
      <c r="A14" s="619" t="inlineStr">
        <is>
          <t>NVDA</t>
        </is>
      </c>
      <c r="B14" s="620" t="n">
        <v>908.01</v>
      </c>
      <c r="C14" s="620" t="n">
        <v>958.85</v>
      </c>
      <c r="D14" s="621">
        <f>C14-B14</f>
        <v/>
      </c>
      <c r="E14" s="622">
        <f>D14*$E$2</f>
        <v/>
      </c>
    </row>
    <row r="15" ht="21.75" customHeight="1" s="350">
      <c r="A15" s="615" t="inlineStr">
        <is>
          <t>AAPL</t>
        </is>
      </c>
      <c r="B15" s="616" t="n">
        <v>261.46</v>
      </c>
      <c r="C15" s="616" t="n">
        <v>271.12</v>
      </c>
      <c r="D15" s="617">
        <f>C15-B15</f>
        <v/>
      </c>
      <c r="E15" s="618">
        <f>D15*$E$2</f>
        <v/>
      </c>
    </row>
    <row r="16" ht="21.75" customHeight="1" s="350">
      <c r="A16" s="619" t="inlineStr">
        <is>
          <t>GOLD</t>
        </is>
      </c>
      <c r="B16" s="620" t="n">
        <v>460</v>
      </c>
      <c r="C16" s="620" t="n">
        <v>490.01</v>
      </c>
      <c r="D16" s="621">
        <f>C16-B16</f>
        <v/>
      </c>
      <c r="E16" s="622">
        <f>D16*$E$2</f>
        <v/>
      </c>
    </row>
    <row r="17" ht="21.75" customHeight="1" s="350">
      <c r="A17" s="615" t="inlineStr">
        <is>
          <t>GOLD</t>
        </is>
      </c>
      <c r="B17" s="616" t="n">
        <v>382.03</v>
      </c>
      <c r="C17" s="616" t="n">
        <v>516.52</v>
      </c>
      <c r="D17" s="617">
        <f>C17-B17</f>
        <v/>
      </c>
      <c r="E17" s="618">
        <f>D17*$E$2</f>
        <v/>
      </c>
    </row>
    <row r="18" ht="21.75" customHeight="1" s="350">
      <c r="A18" s="619" t="inlineStr">
        <is>
          <t>NFLX</t>
        </is>
      </c>
      <c r="B18" s="620" t="n">
        <v>40.11</v>
      </c>
      <c r="C18" s="620" t="n">
        <v>49.85</v>
      </c>
      <c r="D18" s="621">
        <f>C18-B18</f>
        <v/>
      </c>
      <c r="E18" s="622">
        <f>D18*$E$2</f>
        <v/>
      </c>
    </row>
    <row r="19" ht="21.75" customHeight="1" s="350">
      <c r="A19" s="623" t="inlineStr">
        <is>
          <t>📥  นำเข้าจาก Sheet 1 อัตโนมัติ — กรอก ราคาขาย ใน Sheet 1 คอลัมน์ J แล้วจะปรากฏที่นี่</t>
        </is>
      </c>
      <c r="B19" s="352" t="n"/>
      <c r="C19" s="352" t="n"/>
      <c r="D19" s="352" t="n"/>
      <c r="E19" s="353" t="n"/>
    </row>
    <row r="20" ht="21.75" customHeight="1" s="350">
      <c r="A20" s="615">
        <f>IF(AND(ISNUMBER(พอร์ตหุ้นรายตัว!J5),พอร์ตหุ้นรายตัว!J5&gt;0),พอร์ตหุ้นรายตัว!B5,"")</f>
        <v/>
      </c>
      <c r="B20" s="616">
        <f>IF(AND(ISNUMBER(พอร์ตหุ้นรายตัว!J5),พอร์ตหุ้นรายตัว!J5&gt;0),พอร์ตหุ้นรายตัว!C5,"")</f>
        <v/>
      </c>
      <c r="C20" s="616">
        <f>IF(AND(ISNUMBER(พอร์ตหุ้นรายตัว!J5),พอร์ตหุ้นรายตัว!J5&gt;0),พอร์ตหุ้นรายตัว!J5,"")</f>
        <v/>
      </c>
      <c r="D20" s="617">
        <f>IF(AND(ISNUMBER(พอร์ตหุ้นรายตัว!J5),พอร์ตหุ้นรายตัว!J5&gt;0),พอร์ตหุ้นรายตัว!J5-พอร์ตหุ้นรายตัว!C5,"")</f>
        <v/>
      </c>
      <c r="E20" s="618">
        <f>IF(AND(ISNUMBER(พอร์ตหุ้นรายตัว!J5),พอร์ตหุ้นรายตัว!J5&gt;0),(พอร์ตหุ้นรายตัว!J5-พอร์ตหุ้นรายตัว!C5)*$E$2,"")</f>
        <v/>
      </c>
    </row>
    <row r="21" ht="21.75" customHeight="1" s="350">
      <c r="A21" s="619">
        <f>IF(AND(ISNUMBER(พอร์ตหุ้นรายตัว!J6),พอร์ตหุ้นรายตัว!J6&gt;0),พอร์ตหุ้นรายตัว!B6,"")</f>
        <v/>
      </c>
      <c r="B21" s="620">
        <f>IF(AND(ISNUMBER(พอร์ตหุ้นรายตัว!J6),พอร์ตหุ้นรายตัว!J6&gt;0),พอร์ตหุ้นรายตัว!C6,"")</f>
        <v/>
      </c>
      <c r="C21" s="620">
        <f>IF(AND(ISNUMBER(พอร์ตหุ้นรายตัว!J6),พอร์ตหุ้นรายตัว!J6&gt;0),พอร์ตหุ้นรายตัว!J6,"")</f>
        <v/>
      </c>
      <c r="D21" s="621">
        <f>IF(AND(ISNUMBER(พอร์ตหุ้นรายตัว!J6),พอร์ตหุ้นรายตัว!J6&gt;0),พอร์ตหุ้นรายตัว!J6-พอร์ตหุ้นรายตัว!C6,"")</f>
        <v/>
      </c>
      <c r="E21" s="622">
        <f>IF(AND(ISNUMBER(พอร์ตหุ้นรายตัว!J6),พอร์ตหุ้นรายตัว!J6&gt;0),(พอร์ตหุ้นรายตัว!J6-พอร์ตหุ้นรายตัว!C6)*$E$2,"")</f>
        <v/>
      </c>
    </row>
    <row r="22" ht="21.75" customHeight="1" s="350">
      <c r="A22" s="624" t="inlineStr">
        <is>
          <t>RXRX (100 หุ้น)</t>
        </is>
      </c>
      <c r="B22" s="625" t="n">
        <v>418.75</v>
      </c>
      <c r="C22" s="625" t="n">
        <v>323.41</v>
      </c>
      <c r="D22" s="626">
        <f>C22-B22</f>
        <v/>
      </c>
      <c r="E22" s="627">
        <f>D22*$E$2</f>
        <v/>
      </c>
    </row>
    <row r="23" ht="21.75" customHeight="1" s="350">
      <c r="A23" s="624" t="inlineStr">
        <is>
          <t>RXRX (50 หุ้น)</t>
        </is>
      </c>
      <c r="B23" s="625" t="n">
        <v>209.375</v>
      </c>
      <c r="C23" s="625" t="n">
        <v>168.45</v>
      </c>
      <c r="D23" s="626">
        <f>C23-B23</f>
        <v/>
      </c>
      <c r="E23" s="627">
        <f>D23*$E$2</f>
        <v/>
      </c>
    </row>
    <row r="24" ht="21.75" customHeight="1" s="350">
      <c r="A24" s="615">
        <f>IF(AND(ISNUMBER(พอร์ตหุ้นรายตัว!J8),พอร์ตหุ้นรายตัว!J8&gt;0),พอร์ตหุ้นรายตัว!B8,"")</f>
        <v/>
      </c>
      <c r="B24" s="616">
        <f>IF(AND(ISNUMBER(พอร์ตหุ้นรายตัว!J8),พอร์ตหุ้นรายตัว!J8&gt;0),พอร์ตหุ้นรายตัว!C8,"")</f>
        <v/>
      </c>
      <c r="C24" s="616">
        <f>IF(AND(ISNUMBER(พอร์ตหุ้นรายตัว!J8),พอร์ตหุ้นรายตัว!J8&gt;0),พอร์ตหุ้นรายตัว!J8,"")</f>
        <v/>
      </c>
      <c r="D24" s="617">
        <f>IF(AND(ISNUMBER(พอร์ตหุ้นรายตัว!J8),พอร์ตหุ้นรายตัว!J8&gt;0),พอร์ตหุ้นรายตัว!J8-พอร์ตหุ้นรายตัว!C8,"")</f>
        <v/>
      </c>
      <c r="E24" s="618">
        <f>IF(AND(ISNUMBER(พอร์ตหุ้นรายตัว!J8),พอร์ตหุ้นรายตัว!J8&gt;0),(พอร์ตหุ้นรายตัว!J8-พอร์ตหุ้นรายตัว!C8)*$E$2,"")</f>
        <v/>
      </c>
    </row>
    <row r="25" ht="21.75" customHeight="1" s="350">
      <c r="A25" s="619">
        <f>IF(AND(ISNUMBER(พอร์ตหุ้นรายตัว!J9),พอร์ตหุ้นรายตัว!J9&gt;0),พอร์ตหุ้นรายตัว!B9,"")</f>
        <v/>
      </c>
      <c r="B25" s="620">
        <f>IF(AND(ISNUMBER(พอร์ตหุ้นรายตัว!J9),พอร์ตหุ้นรายตัว!J9&gt;0),พอร์ตหุ้นรายตัว!C9,"")</f>
        <v/>
      </c>
      <c r="C25" s="620">
        <f>IF(AND(ISNUMBER(พอร์ตหุ้นรายตัว!J9),พอร์ตหุ้นรายตัว!J9&gt;0),พอร์ตหุ้นรายตัว!J9,"")</f>
        <v/>
      </c>
      <c r="D25" s="621">
        <f>IF(AND(ISNUMBER(พอร์ตหุ้นรายตัว!J9),พอร์ตหุ้นรายตัว!J9&gt;0),พอร์ตหุ้นรายตัว!J9-พอร์ตหุ้นรายตัว!C9,"")</f>
        <v/>
      </c>
      <c r="E25" s="622">
        <f>IF(AND(ISNUMBER(พอร์ตหุ้นรายตัว!J9),พอร์ตหุ้นรายตัว!J9&gt;0),(พอร์ตหุ้นรายตัว!J9-พอร์ตหุ้นรายตัว!C9)*$E$2,"")</f>
        <v/>
      </c>
    </row>
    <row r="26" ht="21.75" customHeight="1" s="350">
      <c r="A26" s="615">
        <f>IF(AND(ISNUMBER(พอร์ตหุ้นรายตัว!J10),พอร์ตหุ้นรายตัว!J10&gt;0),พอร์ตหุ้นรายตัว!B10,"")</f>
        <v/>
      </c>
      <c r="B26" s="616">
        <f>IF(AND(ISNUMBER(พอร์ตหุ้นรายตัว!J10),พอร์ตหุ้นรายตัว!J10&gt;0),พอร์ตหุ้นรายตัว!C10,"")</f>
        <v/>
      </c>
      <c r="C26" s="616">
        <f>IF(AND(ISNUMBER(พอร์ตหุ้นรายตัว!J10),พอร์ตหุ้นรายตัว!J10&gt;0),พอร์ตหุ้นรายตัว!J10,"")</f>
        <v/>
      </c>
      <c r="D26" s="617">
        <f>IF(AND(ISNUMBER(พอร์ตหุ้นรายตัว!J10),พอร์ตหุ้นรายตัว!J10&gt;0),พอร์ตหุ้นรายตัว!J10-พอร์ตหุ้นรายตัว!C10,"")</f>
        <v/>
      </c>
      <c r="E26" s="618">
        <f>IF(AND(ISNUMBER(พอร์ตหุ้นรายตัว!J10),พอร์ตหุ้นรายตัว!J10&gt;0),(พอร์ตหุ้นรายตัว!J10-พอร์ตหุ้นรายตัว!C10)*$E$2,"")</f>
        <v/>
      </c>
    </row>
    <row r="27" ht="21.75" customHeight="1" s="350">
      <c r="A27" s="619">
        <f>IF(AND(ISNUMBER(พอร์ตหุ้นรายตัว!J11),พอร์ตหุ้นรายตัว!J11&gt;0),พอร์ตหุ้นรายตัว!B11,"")</f>
        <v/>
      </c>
      <c r="B27" s="620">
        <f>IF(AND(ISNUMBER(พอร์ตหุ้นรายตัว!J11),พอร์ตหุ้นรายตัว!J11&gt;0),พอร์ตหุ้นรายตัว!C11,"")</f>
        <v/>
      </c>
      <c r="C27" s="620">
        <f>IF(AND(ISNUMBER(พอร์ตหุ้นรายตัว!J11),พอร์ตหุ้นรายตัว!J11&gt;0),พอร์ตหุ้นรายตัว!J11,"")</f>
        <v/>
      </c>
      <c r="D27" s="621">
        <f>IF(AND(ISNUMBER(พอร์ตหุ้นรายตัว!J11),พอร์ตหุ้นรายตัว!J11&gt;0),พอร์ตหุ้นรายตัว!J11-พอร์ตหุ้นรายตัว!C11,"")</f>
        <v/>
      </c>
      <c r="E27" s="622">
        <f>IF(AND(ISNUMBER(พอร์ตหุ้นรายตัว!J11),พอร์ตหุ้นรายตัว!J11&gt;0),(พอร์ตหุ้นรายตัว!J11-พอร์ตหุ้นรายตัว!C11)*$E$2,"")</f>
        <v/>
      </c>
    </row>
    <row r="28" ht="21.75" customHeight="1" s="350">
      <c r="A28" s="615">
        <f>IF(AND(ISNUMBER(พอร์ตหุ้นรายตัว!J12),พอร์ตหุ้นรายตัว!J12&gt;0),พอร์ตหุ้นรายตัว!B12,"")</f>
        <v/>
      </c>
      <c r="B28" s="616">
        <f>IF(AND(ISNUMBER(พอร์ตหุ้นรายตัว!J12),พอร์ตหุ้นรายตัว!J12&gt;0),พอร์ตหุ้นรายตัว!C12,"")</f>
        <v/>
      </c>
      <c r="C28" s="616">
        <f>IF(AND(ISNUMBER(พอร์ตหุ้นรายตัว!J12),พอร์ตหุ้นรายตัว!J12&gt;0),พอร์ตหุ้นรายตัว!J12,"")</f>
        <v/>
      </c>
      <c r="D28" s="617">
        <f>IF(AND(ISNUMBER(พอร์ตหุ้นรายตัว!J12),พอร์ตหุ้นรายตัว!J12&gt;0),พอร์ตหุ้นรายตัว!J12-พอร์ตหุ้นรายตัว!C12,"")</f>
        <v/>
      </c>
      <c r="E28" s="618">
        <f>IF(AND(ISNUMBER(พอร์ตหุ้นรายตัว!J12),พอร์ตหุ้นรายตัว!J12&gt;0),(พอร์ตหุ้นรายตัว!J12-พอร์ตหุ้นรายตัว!C12)*$E$2,"")</f>
        <v/>
      </c>
    </row>
    <row r="29" ht="21.75" customHeight="1" s="350">
      <c r="A29" s="619">
        <f>IF(AND(ISNUMBER(พอร์ตหุ้นรายตัว!J13),พอร์ตหุ้นรายตัว!J13&gt;0),พอร์ตหุ้นรายตัว!B13,"")</f>
        <v/>
      </c>
      <c r="B29" s="620">
        <f>IF(AND(ISNUMBER(พอร์ตหุ้นรายตัว!J13),พอร์ตหุ้นรายตัว!J13&gt;0),พอร์ตหุ้นรายตัว!C13,"")</f>
        <v/>
      </c>
      <c r="C29" s="620">
        <f>IF(AND(ISNUMBER(พอร์ตหุ้นรายตัว!J13),พอร์ตหุ้นรายตัว!J13&gt;0),พอร์ตหุ้นรายตัว!J13,"")</f>
        <v/>
      </c>
      <c r="D29" s="621">
        <f>IF(AND(ISNUMBER(พอร์ตหุ้นรายตัว!J13),พอร์ตหุ้นรายตัว!J13&gt;0),พอร์ตหุ้นรายตัว!J13-พอร์ตหุ้นรายตัว!C13,"")</f>
        <v/>
      </c>
      <c r="E29" s="622">
        <f>IF(AND(ISNUMBER(พอร์ตหุ้นรายตัว!J13),พอร์ตหุ้นรายตัว!J13&gt;0),(พอร์ตหุ้นรายตัว!J13-พอร์ตหุ้นรายตัว!C13)*$E$2,"")</f>
        <v/>
      </c>
    </row>
    <row r="30" ht="21.75" customHeight="1" s="350">
      <c r="A30" s="615">
        <f>IF(AND(ISNUMBER(พอร์ตหุ้นรายตัว!J14),พอร์ตหุ้นรายตัว!J14&gt;0),พอร์ตหุ้นรายตัว!B14,"")</f>
        <v/>
      </c>
      <c r="B30" s="616">
        <f>IF(AND(ISNUMBER(พอร์ตหุ้นรายตัว!J14),พอร์ตหุ้นรายตัว!J14&gt;0),พอร์ตหุ้นรายตัว!C14,"")</f>
        <v/>
      </c>
      <c r="C30" s="616">
        <f>IF(AND(ISNUMBER(พอร์ตหุ้นรายตัว!J14),พอร์ตหุ้นรายตัว!J14&gt;0),พอร์ตหุ้นรายตัว!J14,"")</f>
        <v/>
      </c>
      <c r="D30" s="617">
        <f>IF(AND(ISNUMBER(พอร์ตหุ้นรายตัว!J14),พอร์ตหุ้นรายตัว!J14&gt;0),พอร์ตหุ้นรายตัว!J14-พอร์ตหุ้นรายตัว!C14,"")</f>
        <v/>
      </c>
      <c r="E30" s="618">
        <f>IF(AND(ISNUMBER(พอร์ตหุ้นรายตัว!J14),พอร์ตหุ้นรายตัว!J14&gt;0),(พอร์ตหุ้นรายตัว!J14-พอร์ตหุ้นรายตัว!C14)*$E$2,"")</f>
        <v/>
      </c>
    </row>
    <row r="31" ht="21.75" customHeight="1" s="350">
      <c r="A31" s="619">
        <f>IF(AND(ISNUMBER(พอร์ตหุ้นรายตัว!J15),พอร์ตหุ้นรายตัว!J15&gt;0),พอร์ตหุ้นรายตัว!B15,"")</f>
        <v/>
      </c>
      <c r="B31" s="620">
        <f>IF(AND(ISNUMBER(พอร์ตหุ้นรายตัว!J15),พอร์ตหุ้นรายตัว!J15&gt;0),พอร์ตหุ้นรายตัว!C15,"")</f>
        <v/>
      </c>
      <c r="C31" s="620">
        <f>IF(AND(ISNUMBER(พอร์ตหุ้นรายตัว!J15),พอร์ตหุ้นรายตัว!J15&gt;0),พอร์ตหุ้นรายตัว!J15,"")</f>
        <v/>
      </c>
      <c r="D31" s="621">
        <f>IF(AND(ISNUMBER(พอร์ตหุ้นรายตัว!J15),พอร์ตหุ้นรายตัว!J15&gt;0),พอร์ตหุ้นรายตัว!J15-พอร์ตหุ้นรายตัว!C15,"")</f>
        <v/>
      </c>
      <c r="E31" s="622">
        <f>IF(AND(ISNUMBER(พอร์ตหุ้นรายตัว!J15),พอร์ตหุ้นรายตัว!J15&gt;0),(พอร์ตหุ้นรายตัว!J15-พอร์ตหุ้นรายตัว!C15)*$E$2,"")</f>
        <v/>
      </c>
    </row>
    <row r="32" ht="21.75" customHeight="1" s="350">
      <c r="A32" s="615">
        <f>IF(AND(ISNUMBER(พอร์ตหุ้นรายตัว!J16),พอร์ตหุ้นรายตัว!J16&gt;0),พอร์ตหุ้นรายตัว!B16,"")</f>
        <v/>
      </c>
      <c r="B32" s="616">
        <f>IF(AND(ISNUMBER(พอร์ตหุ้นรายตัว!J16),พอร์ตหุ้นรายตัว!J16&gt;0),พอร์ตหุ้นรายตัว!C16,"")</f>
        <v/>
      </c>
      <c r="C32" s="616">
        <f>IF(AND(ISNUMBER(พอร์ตหุ้นรายตัว!J16),พอร์ตหุ้นรายตัว!J16&gt;0),พอร์ตหุ้นรายตัว!J16,"")</f>
        <v/>
      </c>
      <c r="D32" s="617">
        <f>IF(AND(ISNUMBER(พอร์ตหุ้นรายตัว!J16),พอร์ตหุ้นรายตัว!J16&gt;0),พอร์ตหุ้นรายตัว!J16-พอร์ตหุ้นรายตัว!C16,"")</f>
        <v/>
      </c>
      <c r="E32" s="618">
        <f>IF(AND(ISNUMBER(พอร์ตหุ้นรายตัว!J16),พอร์ตหุ้นรายตัว!J16&gt;0),(พอร์ตหุ้นรายตัว!J16-พอร์ตหุ้นรายตัว!C16)*$E$2,"")</f>
        <v/>
      </c>
    </row>
    <row r="33" ht="21.75" customHeight="1" s="350">
      <c r="A33" s="619">
        <f>IF(AND(ISNUMBER(พอร์ตหุ้นรายตัว!J17),พอร์ตหุ้นรายตัว!J17&gt;0),พอร์ตหุ้นรายตัว!B17,"")</f>
        <v/>
      </c>
      <c r="B33" s="620">
        <f>IF(AND(ISNUMBER(พอร์ตหุ้นรายตัว!J17),พอร์ตหุ้นรายตัว!J17&gt;0),พอร์ตหุ้นรายตัว!C17,"")</f>
        <v/>
      </c>
      <c r="C33" s="620">
        <f>IF(AND(ISNUMBER(พอร์ตหุ้นรายตัว!J17),พอร์ตหุ้นรายตัว!J17&gt;0),พอร์ตหุ้นรายตัว!J17,"")</f>
        <v/>
      </c>
      <c r="D33" s="621">
        <f>IF(AND(ISNUMBER(พอร์ตหุ้นรายตัว!J17),พอร์ตหุ้นรายตัว!J17&gt;0),พอร์ตหุ้นรายตัว!J17-พอร์ตหุ้นรายตัว!C17,"")</f>
        <v/>
      </c>
      <c r="E33" s="622">
        <f>IF(AND(ISNUMBER(พอร์ตหุ้นรายตัว!J17),พอร์ตหุ้นรายตัว!J17&gt;0),(พอร์ตหุ้นรายตัว!J17-พอร์ตหุ้นรายตัว!C17)*$E$2,"")</f>
        <v/>
      </c>
    </row>
    <row r="34" ht="21.75" customHeight="1" s="350">
      <c r="A34" s="615">
        <f>IF(AND(ISNUMBER(พอร์ตหุ้นรายตัว!J18),พอร์ตหุ้นรายตัว!J18&gt;0),พอร์ตหุ้นรายตัว!B18,"")</f>
        <v/>
      </c>
      <c r="B34" s="616">
        <f>IF(AND(ISNUMBER(พอร์ตหุ้นรายตัว!J18),พอร์ตหุ้นรายตัว!J18&gt;0),พอร์ตหุ้นรายตัว!C18,"")</f>
        <v/>
      </c>
      <c r="C34" s="616">
        <f>IF(AND(ISNUMBER(พอร์ตหุ้นรายตัว!J18),พอร์ตหุ้นรายตัว!J18&gt;0),พอร์ตหุ้นรายตัว!J18,"")</f>
        <v/>
      </c>
      <c r="D34" s="617">
        <f>IF(AND(ISNUMBER(พอร์ตหุ้นรายตัว!J18),พอร์ตหุ้นรายตัว!J18&gt;0),พอร์ตหุ้นรายตัว!J18-พอร์ตหุ้นรายตัว!C18,"")</f>
        <v/>
      </c>
      <c r="E34" s="618">
        <f>IF(AND(ISNUMBER(พอร์ตหุ้นรายตัว!J18),พอร์ตหุ้นรายตัว!J18&gt;0),(พอร์ตหุ้นรายตัว!J18-พอร์ตหุ้นรายตัว!C18)*$E$2,"")</f>
        <v/>
      </c>
    </row>
    <row r="35" ht="21.75" customHeight="1" s="350">
      <c r="A35" s="619">
        <f>IF(AND(ISNUMBER(พอร์ตหุ้นรายตัว!J19),พอร์ตหุ้นรายตัว!J19&gt;0),พอร์ตหุ้นรายตัว!B19,"")</f>
        <v/>
      </c>
      <c r="B35" s="620">
        <f>IF(AND(ISNUMBER(พอร์ตหุ้นรายตัว!J19),พอร์ตหุ้นรายตัว!J19&gt;0),พอร์ตหุ้นรายตัว!C19,"")</f>
        <v/>
      </c>
      <c r="C35" s="620">
        <f>IF(AND(ISNUMBER(พอร์ตหุ้นรายตัว!J19),พอร์ตหุ้นรายตัว!J19&gt;0),พอร์ตหุ้นรายตัว!J19,"")</f>
        <v/>
      </c>
      <c r="D35" s="621">
        <f>IF(AND(ISNUMBER(พอร์ตหุ้นรายตัว!J19),พอร์ตหุ้นรายตัว!J19&gt;0),พอร์ตหุ้นรายตัว!J19-พอร์ตหุ้นรายตัว!C19,"")</f>
        <v/>
      </c>
      <c r="E35" s="622">
        <f>IF(AND(ISNUMBER(พอร์ตหุ้นรายตัว!J19),พอร์ตหุ้นรายตัว!J19&gt;0),(พอร์ตหุ้นรายตัว!J19-พอร์ตหุ้นรายตัว!C19)*$E$2,"")</f>
        <v/>
      </c>
    </row>
    <row r="36" ht="21.75" customHeight="1" s="350">
      <c r="A36" s="615">
        <f>IF(AND(ISNUMBER(พอร์ตหุ้นรายตัว!J20),พอร์ตหุ้นรายตัว!J20&gt;0),พอร์ตหุ้นรายตัว!B20,"")</f>
        <v/>
      </c>
      <c r="B36" s="616">
        <f>IF(AND(ISNUMBER(พอร์ตหุ้นรายตัว!J20),พอร์ตหุ้นรายตัว!J20&gt;0),พอร์ตหุ้นรายตัว!C20,"")</f>
        <v/>
      </c>
      <c r="C36" s="616">
        <f>IF(AND(ISNUMBER(พอร์ตหุ้นรายตัว!J20),พอร์ตหุ้นรายตัว!J20&gt;0),พอร์ตหุ้นรายตัว!J20,"")</f>
        <v/>
      </c>
      <c r="D36" s="617">
        <f>IF(AND(ISNUMBER(พอร์ตหุ้นรายตัว!J20),พอร์ตหุ้นรายตัว!J20&gt;0),พอร์ตหุ้นรายตัว!J20-พอร์ตหุ้นรายตัว!C20,"")</f>
        <v/>
      </c>
      <c r="E36" s="618">
        <f>IF(AND(ISNUMBER(พอร์ตหุ้นรายตัว!J20),พอร์ตหุ้นรายตัว!J20&gt;0),(พอร์ตหุ้นรายตัว!J20-พอร์ตหุ้นรายตัว!C20)*$E$2,"")</f>
        <v/>
      </c>
    </row>
    <row r="37" ht="21.75" customHeight="1" s="350">
      <c r="A37" s="619" t="n"/>
      <c r="B37" s="620" t="n"/>
      <c r="C37" s="620" t="n"/>
      <c r="D37" s="621" t="n"/>
      <c r="E37" s="622" t="n"/>
    </row>
    <row r="38" ht="21.75" customHeight="1" s="350">
      <c r="A38" s="615">
        <f>IF(AND(ISNUMBER(พอร์ตหุ้นรายตัว!J21),พอร์ตหุ้นรายตัว!J21&gt;0),พอร์ตหุ้นรายตัว!B21,"")</f>
        <v/>
      </c>
      <c r="B38" s="616">
        <f>IF(AND(ISNUMBER(พอร์ตหุ้นรายตัว!J21),พอร์ตหุ้นรายตัว!J21&gt;0),พอร์ตหุ้นรายตัว!C21,"")</f>
        <v/>
      </c>
      <c r="C38" s="616">
        <f>IF(AND(ISNUMBER(พอร์ตหุ้นรายตัว!J21),พอร์ตหุ้นรายตัว!J21&gt;0),พอร์ตหุ้นรายตัว!J21,"")</f>
        <v/>
      </c>
      <c r="D38" s="617">
        <f>IF(AND(ISNUMBER(พอร์ตหุ้นรายตัว!J21),พอร์ตหุ้นรายตัว!J21&gt;0),พอร์ตหุ้นรายตัว!J21-พอร์ตหุ้นรายตัว!C21,"")</f>
        <v/>
      </c>
      <c r="E38" s="618">
        <f>IF(AND(ISNUMBER(พอร์ตหุ้นรายตัว!J21),พอร์ตหุ้นรายตัว!J21&gt;0),(พอร์ตหุ้นรายตัว!J21-พอร์ตหุ้นรายตัว!C21)*$E$2,"")</f>
        <v/>
      </c>
    </row>
    <row r="39" ht="21.75" customHeight="1" s="350">
      <c r="A39" s="619">
        <f>IF(AND(ISNUMBER(พอร์ตหุ้นรายตัว!J22),พอร์ตหุ้นรายตัว!J22&gt;0),พอร์ตหุ้นรายตัว!B22,"")</f>
        <v/>
      </c>
      <c r="B39" s="620">
        <f>IF(AND(ISNUMBER(พอร์ตหุ้นรายตัว!J22),พอร์ตหุ้นรายตัว!J22&gt;0),พอร์ตหุ้นรายตัว!C22,"")</f>
        <v/>
      </c>
      <c r="C39" s="620">
        <f>IF(AND(ISNUMBER(พอร์ตหุ้นรายตัว!J22),พอร์ตหุ้นรายตัว!J22&gt;0),พอร์ตหุ้นรายตัว!J22,"")</f>
        <v/>
      </c>
      <c r="D39" s="621">
        <f>IF(AND(ISNUMBER(พอร์ตหุ้นรายตัว!J22),พอร์ตหุ้นรายตัว!J22&gt;0),พอร์ตหุ้นรายตัว!J22-พอร์ตหุ้นรายตัว!C22,"")</f>
        <v/>
      </c>
      <c r="E39" s="622">
        <f>IF(AND(ISNUMBER(พอร์ตหุ้นรายตัว!J22),พอร์ตหุ้นรายตัว!J22&gt;0),(พอร์ตหุ้นรายตัว!J22-พอร์ตหุ้นรายตัว!C22)*$E$2,"")</f>
        <v/>
      </c>
    </row>
    <row r="40" ht="21.75" customHeight="1" s="350">
      <c r="A40" s="615">
        <f>IF(AND(ISNUMBER(พอร์ตหุ้นรายตัว!J23),พอร์ตหุ้นรายตัว!J23&gt;0),พอร์ตหุ้นรายตัว!B23,"")</f>
        <v/>
      </c>
      <c r="B40" s="616">
        <f>IF(AND(ISNUMBER(พอร์ตหุ้นรายตัว!J23),พอร์ตหุ้นรายตัว!J23&gt;0),พอร์ตหุ้นรายตัว!C23,"")</f>
        <v/>
      </c>
      <c r="C40" s="616">
        <f>IF(AND(ISNUMBER(พอร์ตหุ้นรายตัว!J23),พอร์ตหุ้นรายตัว!J23&gt;0),พอร์ตหุ้นรายตัว!J23,"")</f>
        <v/>
      </c>
      <c r="D40" s="617">
        <f>IF(AND(ISNUMBER(พอร์ตหุ้นรายตัว!J23),พอร์ตหุ้นรายตัว!J23&gt;0),พอร์ตหุ้นรายตัว!J23-พอร์ตหุ้นรายตัว!C23,"")</f>
        <v/>
      </c>
      <c r="E40" s="618">
        <f>IF(AND(ISNUMBER(พอร์ตหุ้นรายตัว!J23),พอร์ตหุ้นรายตัว!J23&gt;0),(พอร์ตหุ้นรายตัว!J23-พอร์ตหุ้นรายตัว!C23)*$E$2,"")</f>
        <v/>
      </c>
    </row>
    <row r="41" ht="21.75" customHeight="1" s="350">
      <c r="A41" s="619">
        <f>IF(AND(ISNUMBER(พอร์ตหุ้นรายตัว!J24),พอร์ตหุ้นรายตัว!J24&gt;0),พอร์ตหุ้นรายตัว!B24,"")</f>
        <v/>
      </c>
      <c r="B41" s="620">
        <f>IF(AND(ISNUMBER(พอร์ตหุ้นรายตัว!J24),พอร์ตหุ้นรายตัว!J24&gt;0),พอร์ตหุ้นรายตัว!C24,"")</f>
        <v/>
      </c>
      <c r="C41" s="620">
        <f>IF(AND(ISNUMBER(พอร์ตหุ้นรายตัว!J24),พอร์ตหุ้นรายตัว!J24&gt;0),พอร์ตหุ้นรายตัว!J24,"")</f>
        <v/>
      </c>
      <c r="D41" s="621">
        <f>IF(AND(ISNUMBER(พอร์ตหุ้นรายตัว!J24),พอร์ตหุ้นรายตัว!J24&gt;0),พอร์ตหุ้นรายตัว!J24-พอร์ตหุ้นรายตัว!C24,"")</f>
        <v/>
      </c>
      <c r="E41" s="622">
        <f>IF(AND(ISNUMBER(พอร์ตหุ้นรายตัว!J24),พอร์ตหุ้นรายตัว!J24&gt;0),(พอร์ตหุ้นรายตัว!J24-พอร์ตหุ้นรายตัว!C24)*$E$2,"")</f>
        <v/>
      </c>
    </row>
    <row r="42" ht="3.75" customHeight="1" s="350">
      <c r="A42" s="628" t="n"/>
      <c r="B42" s="628" t="n"/>
      <c r="C42" s="628" t="n"/>
      <c r="D42" s="628" t="n"/>
      <c r="E42" s="628" t="n"/>
    </row>
    <row r="43" ht="27.75" customHeight="1" s="350">
      <c r="A43" s="629" t="inlineStr">
        <is>
          <t>📊  รวมกำไร/ขาดทุน (หุ้นทั่วไป)</t>
        </is>
      </c>
      <c r="B43" s="630" t="n"/>
      <c r="C43" s="631" t="n"/>
      <c r="D43" s="632">
        <f>SUM(D5:D41)</f>
        <v/>
      </c>
      <c r="E43" s="633">
        <f>SUM(E5:E41)</f>
        <v/>
      </c>
    </row>
    <row r="44" ht="6" customHeight="1" s="350">
      <c r="A44" s="634" t="n"/>
      <c r="B44" s="634" t="n"/>
      <c r="C44" s="634" t="n"/>
      <c r="D44" s="634" t="n"/>
      <c r="E44" s="634" t="n"/>
    </row>
    <row r="45" ht="27" customHeight="1" s="350">
      <c r="A45" s="635" t="inlineStr">
        <is>
          <t>🤖  AI Trading — ดึงอัตโนมัติ | กรอก "มูลค่าขายรวม (Sold Total $)" ใน Sheet AI Trading คอลัมน์ P แล้วจะปรากฏที่นี่</t>
        </is>
      </c>
      <c r="B45" s="636" t="n"/>
      <c r="C45" s="636" t="n"/>
      <c r="D45" s="636" t="n"/>
      <c r="E45" s="636" t="n"/>
    </row>
    <row r="46" ht="21.75" customHeight="1" s="350">
      <c r="A46" s="637">
        <f>IF(AND(ISNUMBER('AI Trading'!P4),'AI Trading'!P4&gt;0),'AI Trading'!B4&amp;" (AI)","")</f>
        <v/>
      </c>
      <c r="B46" s="638">
        <f>IF(AND(ISNUMBER('AI Trading'!P4),'AI Trading'!P4&gt;0),'AI Trading'!G4,"")</f>
        <v/>
      </c>
      <c r="C46" s="638">
        <f>IF(AND(ISNUMBER('AI Trading'!P4),'AI Trading'!P4&gt;0),'AI Trading'!P4,"")</f>
        <v/>
      </c>
      <c r="D46" s="639">
        <f>IF(AND(ISNUMBER('AI Trading'!P4),'AI Trading'!P4&gt;0),'AI Trading'!P4-'AI Trading'!G4,"")</f>
        <v/>
      </c>
      <c r="E46" s="640">
        <f>IF(AND(ISNUMBER('AI Trading'!P4),'AI Trading'!P4&gt;0),('AI Trading'!P4-'AI Trading'!G4)*$E$2,"")</f>
        <v/>
      </c>
    </row>
    <row r="47" ht="21.75" customHeight="1" s="350">
      <c r="A47" s="641">
        <f>IF(AND(ISNUMBER('AI Trading'!P5),'AI Trading'!P5&gt;0),'AI Trading'!B5&amp;" (AI)","")</f>
        <v/>
      </c>
      <c r="B47" s="642">
        <f>IF(AND(ISNUMBER('AI Trading'!P5),'AI Trading'!P5&gt;0),'AI Trading'!G5,"")</f>
        <v/>
      </c>
      <c r="C47" s="642">
        <f>IF(AND(ISNUMBER('AI Trading'!P5),'AI Trading'!P5&gt;0),'AI Trading'!P5,"")</f>
        <v/>
      </c>
      <c r="D47" s="643">
        <f>IF(AND(ISNUMBER('AI Trading'!P5),'AI Trading'!P5&gt;0),'AI Trading'!P5-'AI Trading'!G5,"")</f>
        <v/>
      </c>
      <c r="E47" s="644">
        <f>IF(AND(ISNUMBER('AI Trading'!P5),'AI Trading'!P5&gt;0),('AI Trading'!P5-'AI Trading'!G5)*$E$2,"")</f>
        <v/>
      </c>
    </row>
    <row r="48" ht="21.75" customHeight="1" s="350">
      <c r="A48" s="637">
        <f>IF(AND(ISNUMBER('AI Trading'!P6),'AI Trading'!P6&gt;0),'AI Trading'!B6&amp;" (AI)","")</f>
        <v/>
      </c>
      <c r="B48" s="638">
        <f>IF(AND(ISNUMBER('AI Trading'!P6),'AI Trading'!P6&gt;0),'AI Trading'!G6,"")</f>
        <v/>
      </c>
      <c r="C48" s="638">
        <f>IF(AND(ISNUMBER('AI Trading'!P6),'AI Trading'!P6&gt;0),'AI Trading'!P6,"")</f>
        <v/>
      </c>
      <c r="D48" s="639">
        <f>IF(AND(ISNUMBER('AI Trading'!P6),'AI Trading'!P6&gt;0),'AI Trading'!P6-'AI Trading'!G6,"")</f>
        <v/>
      </c>
      <c r="E48" s="640">
        <f>IF(AND(ISNUMBER('AI Trading'!P6),'AI Trading'!P6&gt;0),('AI Trading'!P6-'AI Trading'!G6)*$E$2,"")</f>
        <v/>
      </c>
    </row>
    <row r="49" ht="21.75" customHeight="1" s="350">
      <c r="A49" s="641">
        <f>IF(AND(ISNUMBER('AI Trading'!P7),'AI Trading'!P7&gt;0),'AI Trading'!B7&amp;" (AI)","")</f>
        <v/>
      </c>
      <c r="B49" s="642">
        <f>IF(AND(ISNUMBER('AI Trading'!P7),'AI Trading'!P7&gt;0),'AI Trading'!G7,"")</f>
        <v/>
      </c>
      <c r="C49" s="642">
        <f>IF(AND(ISNUMBER('AI Trading'!P7),'AI Trading'!P7&gt;0),'AI Trading'!P7,"")</f>
        <v/>
      </c>
      <c r="D49" s="643">
        <f>IF(AND(ISNUMBER('AI Trading'!P7),'AI Trading'!P7&gt;0),'AI Trading'!P7-'AI Trading'!G7,"")</f>
        <v/>
      </c>
      <c r="E49" s="644">
        <f>IF(AND(ISNUMBER('AI Trading'!P7),'AI Trading'!P7&gt;0),('AI Trading'!P7-'AI Trading'!G7)*$E$2,"")</f>
        <v/>
      </c>
    </row>
    <row r="50" ht="21.75" customHeight="1" s="350">
      <c r="A50" s="637">
        <f>IF(AND(ISNUMBER('AI Trading'!P8),'AI Trading'!P8&gt;0),'AI Trading'!B8&amp;" (AI)","")</f>
        <v/>
      </c>
      <c r="B50" s="638">
        <f>IF(AND(ISNUMBER('AI Trading'!P8),'AI Trading'!P8&gt;0),'AI Trading'!G8,"")</f>
        <v/>
      </c>
      <c r="C50" s="638">
        <f>IF(AND(ISNUMBER('AI Trading'!P8),'AI Trading'!P8&gt;0),'AI Trading'!P8,"")</f>
        <v/>
      </c>
      <c r="D50" s="639">
        <f>IF(AND(ISNUMBER('AI Trading'!P8),'AI Trading'!P8&gt;0),'AI Trading'!P8-'AI Trading'!G8,"")</f>
        <v/>
      </c>
      <c r="E50" s="640">
        <f>IF(AND(ISNUMBER('AI Trading'!P8),'AI Trading'!P8&gt;0),('AI Trading'!P8-'AI Trading'!G8)*$E$2,"")</f>
        <v/>
      </c>
    </row>
    <row r="51" ht="21.75" customHeight="1" s="350">
      <c r="A51" s="641">
        <f>IF(AND(ISNUMBER('AI Trading'!P9),'AI Trading'!P9&gt;0),'AI Trading'!B9&amp;" (AI)","")</f>
        <v/>
      </c>
      <c r="B51" s="642">
        <f>IF(AND(ISNUMBER('AI Trading'!P9),'AI Trading'!P9&gt;0),'AI Trading'!G9,"")</f>
        <v/>
      </c>
      <c r="C51" s="642">
        <f>IF(AND(ISNUMBER('AI Trading'!P9),'AI Trading'!P9&gt;0),'AI Trading'!P9,"")</f>
        <v/>
      </c>
      <c r="D51" s="643">
        <f>IF(AND(ISNUMBER('AI Trading'!P9),'AI Trading'!P9&gt;0),'AI Trading'!P9-'AI Trading'!G9,"")</f>
        <v/>
      </c>
      <c r="E51" s="644">
        <f>IF(AND(ISNUMBER('AI Trading'!P9),'AI Trading'!P9&gt;0),('AI Trading'!P9-'AI Trading'!G9)*$E$2,"")</f>
        <v/>
      </c>
    </row>
    <row r="52" ht="3.75" customHeight="1" s="350">
      <c r="A52" s="634" t="n"/>
      <c r="B52" s="634" t="n"/>
      <c r="C52" s="634" t="n"/>
      <c r="D52" s="634" t="n"/>
      <c r="E52" s="634" t="n"/>
    </row>
    <row r="53" ht="27.75" customHeight="1" s="350">
      <c r="A53" s="635" t="inlineStr">
        <is>
          <t>🤖  รวมกำไร/ขาดทุน (AI) เท่านั้น</t>
        </is>
      </c>
      <c r="B53" s="636" t="n"/>
      <c r="C53" s="636" t="n"/>
      <c r="D53" s="645">
        <f>SUMIF(A46:A51,"*(AI)*",D46:D51)</f>
        <v/>
      </c>
      <c r="E53" s="646">
        <f>SUMIF(A46:A51,"*(AI)*",E46:E51)</f>
        <v/>
      </c>
    </row>
    <row r="54" ht="3.75" customHeight="1" s="350">
      <c r="A54" s="634" t="n"/>
      <c r="B54" s="634" t="n"/>
      <c r="C54" s="634" t="n"/>
      <c r="D54" s="634" t="n"/>
      <c r="E54" s="634" t="n"/>
    </row>
    <row r="55" ht="33" customHeight="1" s="350">
      <c r="A55" s="647" t="inlineStr">
        <is>
          <t>💰  รวมกำไร/ขาดทุน ทั้งหมด (หุ้นทั่วไป + AI)</t>
        </is>
      </c>
      <c r="B55" s="648" t="n"/>
      <c r="C55" s="648" t="n"/>
      <c r="D55" s="649">
        <f>D43+D53</f>
        <v/>
      </c>
      <c r="E55" s="650">
        <f>E43+E53</f>
        <v/>
      </c>
    </row>
  </sheetData>
  <mergeCells count="4">
    <mergeCell ref="A1:E1"/>
    <mergeCell ref="A43:C43"/>
    <mergeCell ref="A2:D2"/>
    <mergeCell ref="A19:E19"/>
  </mergeCells>
  <conditionalFormatting sqref="D5:E40">
    <cfRule type="expression" rank="0" priority="2" equalAverage="0" aboveAverage="0" dxfId="8" text="" percent="0" bottom="0">
      <formula>$D5&lt;0</formula>
    </cfRule>
    <cfRule type="expression" rank="0" priority="3" equalAverage="0" aboveAverage="0" dxfId="9" text="" percent="0" bottom="0">
      <formula>$D5&gt;0</formula>
    </cfRule>
  </conditionalFormatting>
  <conditionalFormatting sqref="D5:D41">
    <cfRule type="cellIs" rank="0" priority="4" equalAverage="0" operator="greaterThanOrEqual" aboveAverage="0" dxfId="10" text="" percent="0" bottom="0">
      <formula>0</formula>
    </cfRule>
    <cfRule type="cellIs" rank="0" priority="5" equalAverage="0" operator="lessThan" aboveAverage="0" dxfId="11" text="" percent="0" bottom="0">
      <formula>0</formula>
    </cfRule>
  </conditionalFormatting>
  <conditionalFormatting sqref="D43">
    <cfRule type="cellIs" rank="0" priority="6" equalAverage="0" operator="greaterThanOrEqual" aboveAverage="0" dxfId="12" text="" percent="0" bottom="0">
      <formula>0</formula>
    </cfRule>
    <cfRule type="cellIs" rank="0" priority="7" equalAverage="0" operator="lessThan" aboveAverage="0" dxfId="13" text="" percent="0" bottom="0">
      <formula>0</formula>
    </cfRule>
  </conditionalFormatting>
  <conditionalFormatting sqref="E5:E41">
    <cfRule type="cellIs" rank="0" priority="8" equalAverage="0" operator="greaterThanOrEqual" aboveAverage="0" dxfId="14" text="" percent="0" bottom="0">
      <formula>0</formula>
    </cfRule>
    <cfRule type="cellIs" rank="0" priority="9" equalAverage="0" operator="lessThan" aboveAverage="0" dxfId="15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2" activeCellId="0" sqref="F2"/>
    </sheetView>
  </sheetViews>
  <sheetFormatPr baseColWidth="8" defaultColWidth="8.66796875" defaultRowHeight="15" customHeight="1" zeroHeight="0" outlineLevelRow="0"/>
  <cols>
    <col width="52" customWidth="1" style="349" min="1" max="1"/>
    <col width="18" customWidth="1" style="349" min="2" max="3"/>
    <col width="20" customWidth="1" style="349" min="6" max="6"/>
    <col width="12" customWidth="1" style="349" min="7" max="7"/>
    <col width="16" customWidth="1" style="349" min="8" max="8"/>
    <col width="12" customWidth="1" style="349" min="9" max="9"/>
  </cols>
  <sheetData>
    <row r="1" ht="21.75" customHeight="1" s="350">
      <c r="A1" s="651" t="inlineStr">
        <is>
          <t>สรุปรายรับ - รายจ่าย ประจำปี</t>
        </is>
      </c>
      <c r="B1" s="352" t="n"/>
      <c r="C1" s="352" t="n"/>
      <c r="F1" s="652" t="inlineStr">
        <is>
          <t>💳  รายจ่ายรายปีที่ต้องจ่าย</t>
        </is>
      </c>
      <c r="G1" s="438" t="n"/>
      <c r="H1" s="438" t="n"/>
      <c r="I1" s="438" t="n"/>
    </row>
    <row r="2" ht="18" customHeight="1" s="350">
      <c r="A2" s="513" t="inlineStr">
        <is>
          <t>รายการ</t>
        </is>
      </c>
      <c r="B2" s="513" t="inlineStr">
        <is>
          <t>ต่อเดือน (บาท)</t>
        </is>
      </c>
      <c r="C2" s="513" t="inlineStr">
        <is>
          <t>ต่อปี (บาท)</t>
        </is>
      </c>
      <c r="F2" s="653" t="inlineStr">
        <is>
          <t>รายการ</t>
        </is>
      </c>
      <c r="G2" s="653" t="inlineStr">
        <is>
          <t>เดือน</t>
        </is>
      </c>
      <c r="H2" s="653" t="inlineStr">
        <is>
          <t>จำนวน (บาท)</t>
        </is>
      </c>
      <c r="I2" s="653" t="inlineStr">
        <is>
          <t>✓ จ่ายแล้ว</t>
        </is>
      </c>
    </row>
    <row r="3" ht="21.75" customHeight="1" s="350">
      <c r="A3" s="654" t="inlineStr">
        <is>
          <t>💰  รายรับ</t>
        </is>
      </c>
      <c r="B3" s="352" t="n"/>
      <c r="C3" s="352" t="n"/>
      <c r="F3" s="655" t="inlineStr">
        <is>
          <t>ส่วนกลางคอนโด</t>
        </is>
      </c>
      <c r="G3" s="656" t="inlineStr">
        <is>
          <t>เดือน 2</t>
        </is>
      </c>
      <c r="H3" s="657" t="n">
        <v>21000</v>
      </c>
      <c r="I3" s="658" t="inlineStr">
        <is>
          <t>☑</t>
        </is>
      </c>
    </row>
    <row r="4" ht="21.75" customHeight="1" s="350">
      <c r="A4" s="659" t="inlineStr">
        <is>
          <t xml:space="preserve">  ยอดเงินเดือนต่อครั้ง (แบ่งจ่าย 2 ครั้ง/เดือน)</t>
        </is>
      </c>
      <c r="B4" s="660" t="n">
        <v>44230</v>
      </c>
      <c r="C4" s="566" t="n"/>
      <c r="F4" s="661" t="inlineStr">
        <is>
          <t>ประกันรถ</t>
        </is>
      </c>
      <c r="G4" s="662" t="inlineStr">
        <is>
          <t>เดือน 3</t>
        </is>
      </c>
      <c r="H4" s="663" t="n">
        <v>15000</v>
      </c>
      <c r="I4" s="664" t="inlineStr">
        <is>
          <t>☑</t>
        </is>
      </c>
    </row>
    <row r="5" ht="21.75" customHeight="1" s="350">
      <c r="A5" s="563" t="inlineStr">
        <is>
          <t xml:space="preserve">  เงินเดือนรวม (×2)</t>
        </is>
      </c>
      <c r="B5" s="665">
        <f>B4*2</f>
        <v/>
      </c>
      <c r="C5" s="665">
        <f>B4*24</f>
        <v/>
      </c>
      <c r="F5" s="655" t="inlineStr">
        <is>
          <t>ประกันชีวิต</t>
        </is>
      </c>
      <c r="G5" s="656" t="inlineStr">
        <is>
          <t>เดือน 4</t>
        </is>
      </c>
      <c r="H5" s="657" t="n">
        <v>22300</v>
      </c>
      <c r="I5" s="666" t="inlineStr">
        <is>
          <t>☐</t>
        </is>
      </c>
    </row>
    <row r="6" ht="21.75" customHeight="1" s="350">
      <c r="A6" s="667" t="inlineStr">
        <is>
          <t xml:space="preserve">  หัก: กองทุนสำรองเลี้ยงชีพ (ต่อครั้ง)</t>
        </is>
      </c>
      <c r="B6" s="668" t="n">
        <v>2212</v>
      </c>
      <c r="C6" s="669" t="n"/>
      <c r="F6" s="661" t="inlineStr">
        <is>
          <t>ประกันชีวิต</t>
        </is>
      </c>
      <c r="G6" s="662" t="inlineStr">
        <is>
          <t>เดือน 7</t>
        </is>
      </c>
      <c r="H6" s="663" t="n">
        <v>53597</v>
      </c>
      <c r="I6" s="670" t="inlineStr">
        <is>
          <t>☐</t>
        </is>
      </c>
    </row>
    <row r="7" ht="21.75" customHeight="1" s="350">
      <c r="A7" s="667" t="inlineStr">
        <is>
          <t xml:space="preserve">  หัก: ภาษี (ต่อครั้ง)</t>
        </is>
      </c>
      <c r="B7" s="668" t="n">
        <v>2590.4</v>
      </c>
      <c r="C7" s="669" t="n"/>
      <c r="F7" s="655" t="inlineStr">
        <is>
          <t>ประกันชีวิต</t>
        </is>
      </c>
      <c r="G7" s="656" t="inlineStr">
        <is>
          <t>เดือน 8</t>
        </is>
      </c>
      <c r="H7" s="657" t="n">
        <v>26426</v>
      </c>
      <c r="I7" s="666" t="inlineStr">
        <is>
          <t>☐</t>
        </is>
      </c>
    </row>
    <row r="8" ht="21.75" customHeight="1" s="350">
      <c r="A8" s="671" t="inlineStr">
        <is>
          <t xml:space="preserve">  รวมถูกหัก (กองทุน + ภาษี) ×2</t>
        </is>
      </c>
      <c r="B8" s="525">
        <f>(B6+B7)*2</f>
        <v/>
      </c>
      <c r="C8" s="525">
        <f>(B6+B7)*24</f>
        <v/>
      </c>
      <c r="F8" s="672" t="inlineStr">
        <is>
          <t>รวมทั้งหมด</t>
        </is>
      </c>
      <c r="G8" s="673" t="n"/>
      <c r="H8" s="674">
        <f>SUM(H3:H7)</f>
        <v/>
      </c>
      <c r="I8" s="675" t="n"/>
    </row>
    <row r="9" ht="18" customHeight="1" s="350">
      <c r="A9" s="524" t="inlineStr">
        <is>
          <t xml:space="preserve">  ↳ กองทุนสำรองเลี้ยงชีพ ×2  (บันทึกเป็นเงินเก็บอัตโนมัติ)</t>
        </is>
      </c>
      <c r="B9" s="676">
        <f>B6*2</f>
        <v/>
      </c>
      <c r="C9" s="676">
        <f>B6*24</f>
        <v/>
      </c>
    </row>
    <row r="10" ht="24" customHeight="1" s="350">
      <c r="A10" s="677" t="inlineStr">
        <is>
          <t xml:space="preserve">  ✦ เงินเดือนสุทธิ (หลังหัก)</t>
        </is>
      </c>
      <c r="B10" s="678">
        <f>B5-B8</f>
        <v/>
      </c>
      <c r="C10" s="678">
        <f>C5-C8</f>
        <v/>
      </c>
    </row>
    <row r="11" ht="6" customHeight="1" s="350"/>
    <row r="12" ht="21.75" customHeight="1" s="350">
      <c r="A12" s="679" t="inlineStr">
        <is>
          <t>📌  รายจ่าย</t>
        </is>
      </c>
      <c r="B12" s="352" t="n"/>
      <c r="C12" s="352" t="n"/>
    </row>
    <row r="13" ht="21.75" customHeight="1" s="350">
      <c r="A13" s="680" t="inlineStr">
        <is>
          <t xml:space="preserve">  ประกันรถ  (ต่อปี)</t>
        </is>
      </c>
      <c r="B13" s="681">
        <f>C13/12</f>
        <v/>
      </c>
      <c r="C13" s="682" t="n">
        <v>15000</v>
      </c>
    </row>
    <row r="14" ht="21.75" customHeight="1" s="350">
      <c r="A14" s="680" t="inlineStr">
        <is>
          <t xml:space="preserve">  ค่าส่วนกลางคอนโด  (ต่อปี)</t>
        </is>
      </c>
      <c r="B14" s="681">
        <f>C14/12</f>
        <v/>
      </c>
      <c r="C14" s="682" t="n">
        <v>21000</v>
      </c>
    </row>
    <row r="15" ht="21.75" customHeight="1" s="350">
      <c r="A15" s="680" t="inlineStr">
        <is>
          <t xml:space="preserve">  ค่าคอนโด</t>
        </is>
      </c>
      <c r="B15" s="682" t="n">
        <v>12300</v>
      </c>
      <c r="C15" s="681">
        <f>B15*12</f>
        <v/>
      </c>
    </row>
    <row r="16" ht="21.75" customHeight="1" s="350">
      <c r="A16" s="680" t="inlineStr">
        <is>
          <t xml:space="preserve">  ค่าประกัน</t>
        </is>
      </c>
      <c r="B16" s="682">
        <f>C16/12</f>
        <v/>
      </c>
      <c r="C16" s="681">
        <f>H5+H6+H7</f>
        <v/>
      </c>
    </row>
    <row r="17" ht="21.75" customHeight="1" s="350">
      <c r="A17" s="680" t="inlineStr">
        <is>
          <t xml:space="preserve">  ค่าบัตรเครดิต</t>
        </is>
      </c>
      <c r="B17" s="682" t="n">
        <v>6000</v>
      </c>
      <c r="C17" s="681">
        <f>B17*12</f>
        <v/>
      </c>
    </row>
    <row r="18" ht="21.75" customHeight="1" s="350">
      <c r="A18" s="680" t="inlineStr">
        <is>
          <t xml:space="preserve">  ค่าโทรศัพท์</t>
        </is>
      </c>
      <c r="B18" s="682" t="n">
        <v>373</v>
      </c>
      <c r="C18" s="681">
        <f>B18*12</f>
        <v/>
      </c>
    </row>
    <row r="19" ht="21.75" customHeight="1" s="350">
      <c r="A19" s="680" t="inlineStr">
        <is>
          <t xml:space="preserve">  ค่าเน็ตบ้าน</t>
        </is>
      </c>
      <c r="B19" s="682" t="n">
        <v>535</v>
      </c>
      <c r="C19" s="681">
        <f>B19*12</f>
        <v/>
      </c>
    </row>
    <row r="20" ht="21.75" customHeight="1" s="350">
      <c r="A20" s="680" t="inlineStr">
        <is>
          <t xml:space="preserve">  ค่าไฟ (บ้าน + คอนโด)</t>
        </is>
      </c>
      <c r="B20" s="682" t="n">
        <v>1000</v>
      </c>
      <c r="C20" s="681">
        <f>B20*12</f>
        <v/>
      </c>
    </row>
    <row r="21" ht="21.75" customHeight="1" s="350">
      <c r="A21" s="680" t="inlineStr">
        <is>
          <t xml:space="preserve">  โป๊ะคอนโด</t>
        </is>
      </c>
      <c r="B21" s="682" t="n">
        <v>7000</v>
      </c>
      <c r="C21" s="681">
        <f>B21*12</f>
        <v/>
      </c>
    </row>
    <row r="22" ht="21.75" customHeight="1" s="350">
      <c r="A22" s="680" t="inlineStr">
        <is>
          <t xml:space="preserve">  ค่ากินอยู่</t>
        </is>
      </c>
      <c r="B22" s="682" t="n">
        <v>12000</v>
      </c>
      <c r="C22" s="681">
        <f>B22*12</f>
        <v/>
      </c>
    </row>
    <row r="23" ht="21.75" customHeight="1" s="350">
      <c r="A23" s="683" t="inlineStr">
        <is>
          <t xml:space="preserve">  Claude Pro (AI Subscription) $17/mo (รายปี)</t>
        </is>
      </c>
      <c r="B23" s="684" t="n">
        <v>556.92</v>
      </c>
      <c r="C23" s="685">
        <f>B23*12</f>
        <v/>
      </c>
    </row>
    <row r="24" ht="21.75" customHeight="1" s="350">
      <c r="A24" s="520" t="inlineStr">
        <is>
          <t xml:space="preserve">  รวมรายจ่าย</t>
        </is>
      </c>
      <c r="B24" s="522">
        <f>B13+B14+B15+B16+B17+B18+B19+B20+B21+B22+B23</f>
        <v/>
      </c>
      <c r="C24" s="522">
        <f>C13+C14+C15+C16+C17+C18+C19+C20+C21+C22+C23</f>
        <v/>
      </c>
    </row>
    <row r="25" ht="21.75" customHeight="1" s="350">
      <c r="A25" s="349" t="n"/>
    </row>
    <row r="26" ht="18" customHeight="1" s="350">
      <c r="A26" s="686" t="inlineStr">
        <is>
          <t>💎  เงินเก็บ</t>
        </is>
      </c>
      <c r="B26" s="425" t="n"/>
      <c r="C26" s="425" t="n"/>
    </row>
    <row r="27" ht="21.75" customHeight="1" s="350">
      <c r="A27" s="687" t="inlineStr">
        <is>
          <t xml:space="preserve">  กองทุนสำรองเลี้ยงชีพ (หักแล้ว ✓)</t>
        </is>
      </c>
      <c r="B27" s="688">
        <f>B6*2</f>
        <v/>
      </c>
      <c r="C27" s="688">
        <f>B6*24</f>
        <v/>
      </c>
    </row>
    <row r="28" ht="21.75" customHeight="1" s="350">
      <c r="A28" s="514" t="inlineStr">
        <is>
          <t xml:space="preserve">  ลงทุนหุ้น</t>
        </is>
      </c>
      <c r="B28" s="516" t="n">
        <v>20000</v>
      </c>
      <c r="C28" s="529">
        <f>B28*12</f>
        <v/>
      </c>
    </row>
    <row r="29" ht="21.75" customHeight="1" s="350">
      <c r="A29" s="514" t="inlineStr">
        <is>
          <t xml:space="preserve">  เก็บกับต่อมา</t>
        </is>
      </c>
      <c r="B29" s="516" t="n">
        <v>5000</v>
      </c>
      <c r="C29" s="529">
        <f>B29*12</f>
        <v/>
      </c>
    </row>
    <row r="30" ht="21.75" customHeight="1" s="350">
      <c r="A30" s="520" t="inlineStr">
        <is>
          <t xml:space="preserve">  รวมเงินเก็บ (ไม่รวมกองทุน)</t>
        </is>
      </c>
      <c r="B30" s="522">
        <f>B28+B29</f>
        <v/>
      </c>
      <c r="C30" s="522">
        <f>C28+C29</f>
        <v/>
      </c>
    </row>
    <row r="31" ht="25.5" customHeight="1" s="350"/>
    <row r="32" ht="25.5" customHeight="1" s="350">
      <c r="A32" s="606" t="inlineStr">
        <is>
          <t>📊  รวมรายจ่าย + เงินเก็บทั้งหมด</t>
        </is>
      </c>
      <c r="B32" s="689">
        <f>B24+B30</f>
        <v/>
      </c>
      <c r="C32" s="689">
        <f>C24+C30</f>
        <v/>
      </c>
    </row>
    <row r="33" ht="26.25" customHeight="1" s="350">
      <c r="A33" s="690" t="inlineStr">
        <is>
          <t>✅  คงเหลือสุทธิ (หลังหักทั้งหมด)</t>
        </is>
      </c>
      <c r="B33" s="691">
        <f>B10-B32</f>
        <v/>
      </c>
      <c r="C33" s="691">
        <f>C10-C32</f>
        <v/>
      </c>
    </row>
  </sheetData>
  <mergeCells count="6">
    <mergeCell ref="A25:C25"/>
    <mergeCell ref="F1:I1"/>
    <mergeCell ref="A1:C1"/>
    <mergeCell ref="A3:C3"/>
    <mergeCell ref="A12:C12"/>
    <mergeCell ref="F8:G8"/>
  </mergeCells>
  <conditionalFormatting sqref="F3:H7">
    <cfRule type="expression" rank="0" priority="2" equalAverage="0" aboveAverage="0" dxfId="16" text="" percent="0" bottom="0">
      <formula>$I3="☑"</formula>
    </cfRule>
  </conditionalFormatting>
  <conditionalFormatting sqref="I3:I7">
    <cfRule type="expression" rank="0" priority="3" equalAverage="0" aboveAverage="0" dxfId="17" text="" percent="0" bottom="0">
      <formula>$I3="☑"</formula>
    </cfRule>
  </conditionalFormatting>
  <dataValidations count="1">
    <dataValidation sqref="I3:I7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5" right="0.75" top="1" bottom="1" header="0.511805555555556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&amp;L&amp;"Aptos,Regular"&amp;1 &amp;Kff0000 Public#_x000d_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36" customWidth="1" style="349" min="1" max="1"/>
    <col width="20" customWidth="1" style="349" min="2" max="2"/>
    <col width="22" customWidth="1" style="349" min="3" max="3"/>
  </cols>
  <sheetData>
    <row r="1" ht="36" customHeight="1" s="350">
      <c r="A1" s="651" t="inlineStr">
        <is>
          <t>แผนการจ่ายเงินต่อรอบ</t>
        </is>
      </c>
      <c r="B1" s="352" t="n"/>
      <c r="C1" s="352" t="n"/>
    </row>
    <row r="2" ht="18" customHeight="1" s="350">
      <c r="A2" s="692" t="inlineStr">
        <is>
          <t>💡  รายรับ = ยอดหลังหักกองทุนสำรองเลี้ยงชีพ + ภาษีแล้ว</t>
        </is>
      </c>
      <c r="B2" s="352" t="n"/>
      <c r="C2" s="352" t="n"/>
    </row>
    <row r="3" ht="7.5" customHeight="1" s="350"/>
    <row r="4" ht="25.5" customHeight="1" s="350">
      <c r="A4" s="693" t="inlineStr">
        <is>
          <t>🗓️  รอบที่ 1  —  วันที่ 20</t>
        </is>
      </c>
      <c r="B4" s="352" t="n"/>
      <c r="C4" s="352" t="n"/>
    </row>
    <row r="5" ht="19.5" customHeight="1" s="350">
      <c r="A5" s="513" t="inlineStr">
        <is>
          <t>รายการ</t>
        </is>
      </c>
      <c r="B5" s="513" t="inlineStr">
        <is>
          <t>จำนวน (บาท)</t>
        </is>
      </c>
      <c r="C5" s="513" t="inlineStr">
        <is>
          <t>หมายเหตุ</t>
        </is>
      </c>
    </row>
    <row r="6" ht="21.75" customHeight="1" s="350">
      <c r="A6" s="563" t="inlineStr">
        <is>
          <t xml:space="preserve">  💰 รายรับ (หลังหักกองทุน + ภาษี)</t>
        </is>
      </c>
      <c r="B6" s="665">
        <f>'รายรับ-รายจ่าย'!B10/2</f>
        <v/>
      </c>
      <c r="C6" s="694" t="inlineStr">
        <is>
          <t>เงินเดือนสุทธิ ÷ 2</t>
        </is>
      </c>
    </row>
    <row r="7" ht="21.75" customHeight="1" s="350">
      <c r="A7" s="514" t="inlineStr">
        <is>
          <t xml:space="preserve">  ประกันรถ</t>
        </is>
      </c>
      <c r="B7" s="529">
        <f>'รายรับ-รายจ่าย'!B13</f>
        <v/>
      </c>
      <c r="C7" s="528" t="inlineStr">
        <is>
          <t>ตั้งสำรอง 1/12 ต่อปี</t>
        </is>
      </c>
    </row>
    <row r="8" ht="21.75" customHeight="1" s="350">
      <c r="A8" s="514" t="inlineStr">
        <is>
          <t xml:space="preserve">  ค่าส่วนกลางคอนโด</t>
        </is>
      </c>
      <c r="B8" s="529">
        <f>'รายรับ-รายจ่าย'!B14</f>
        <v/>
      </c>
      <c r="C8" s="528" t="inlineStr">
        <is>
          <t>ตั้งสำรอง 1/12 ต่อปี</t>
        </is>
      </c>
    </row>
    <row r="9" ht="21.75" customHeight="1" s="350">
      <c r="A9" s="514" t="inlineStr">
        <is>
          <t xml:space="preserve">  ค่าคอนโด</t>
        </is>
      </c>
      <c r="B9" s="529">
        <f>'รายรับ-รายจ่าย'!B15</f>
        <v/>
      </c>
      <c r="C9" s="528" t="n"/>
    </row>
    <row r="10" ht="21.75" customHeight="1" s="350">
      <c r="A10" s="514" t="inlineStr">
        <is>
          <t xml:space="preserve">  โป๊ะคอนโด</t>
        </is>
      </c>
      <c r="B10" s="529">
        <f>'รายรับ-รายจ่าย'!B21</f>
        <v/>
      </c>
      <c r="C10" s="528" t="n"/>
    </row>
    <row r="11" ht="21.75" customHeight="1" s="350">
      <c r="A11" s="514" t="inlineStr">
        <is>
          <t xml:space="preserve">  ค่าโทรศัพท์</t>
        </is>
      </c>
      <c r="B11" s="529">
        <f>'รายรับ-รายจ่าย'!B18</f>
        <v/>
      </c>
      <c r="C11" s="528" t="n"/>
    </row>
    <row r="12" ht="21.75" customHeight="1" s="350">
      <c r="A12" s="514" t="inlineStr">
        <is>
          <t xml:space="preserve">  ค่าไฟ</t>
        </is>
      </c>
      <c r="B12" s="529">
        <f>'รายรับ-รายจ่าย'!B20</f>
        <v/>
      </c>
      <c r="C12" s="528" t="n"/>
    </row>
    <row r="13" ht="21.75" customHeight="1" s="350">
      <c r="A13" s="514" t="inlineStr">
        <is>
          <t xml:space="preserve">  ค่าบัตรเครดิต</t>
        </is>
      </c>
      <c r="B13" s="529">
        <f>'รายรับ-รายจ่าย'!B17</f>
        <v/>
      </c>
      <c r="C13" s="528" t="n"/>
    </row>
    <row r="14" ht="21.75" customHeight="1" s="350">
      <c r="A14" s="514" t="inlineStr">
        <is>
          <t xml:space="preserve">  ค่าเน็ตบ้าน</t>
        </is>
      </c>
      <c r="B14" s="529">
        <f>'รายรับ-รายจ่าย'!B19</f>
        <v/>
      </c>
      <c r="C14" s="528" t="n"/>
    </row>
    <row r="15" ht="21.75" customHeight="1" s="350">
      <c r="A15" s="514" t="inlineStr">
        <is>
          <t xml:space="preserve">  เก็บกับต่อมา</t>
        </is>
      </c>
      <c r="B15" s="529">
        <f>'รายรับ-รายจ่าย'!B29/2</f>
        <v/>
      </c>
      <c r="C15" s="528" t="inlineStr">
        <is>
          <t>5,000 ÷ 2</t>
        </is>
      </c>
    </row>
    <row r="16" ht="21.75" customHeight="1" s="350">
      <c r="A16" s="514" t="inlineStr">
        <is>
          <t xml:space="preserve">  ค่ากินอยู่</t>
        </is>
      </c>
      <c r="B16" s="529">
        <f>'รายรับ-รายจ่าย'!B22/2</f>
        <v/>
      </c>
      <c r="C16" s="528" t="inlineStr">
        <is>
          <t>12,000 ÷ 2</t>
        </is>
      </c>
    </row>
    <row r="17" ht="21.75" customHeight="1" s="350">
      <c r="A17" s="520" t="inlineStr">
        <is>
          <t xml:space="preserve">  รวมรายจ่ายรอบที่ 1</t>
        </is>
      </c>
      <c r="B17" s="522">
        <f>B7+B8+B9+B10+B11+B12+B13+B14+B15+B16</f>
        <v/>
      </c>
      <c r="C17" s="521" t="n"/>
    </row>
    <row r="18" ht="24" customHeight="1" s="350">
      <c r="A18" s="677" t="inlineStr">
        <is>
          <t xml:space="preserve">  ✅ คงเหลือหลังรอบที่ 1</t>
        </is>
      </c>
      <c r="B18" s="678">
        <f>B6-B17</f>
        <v/>
      </c>
      <c r="C18" s="695" t="n"/>
    </row>
    <row r="19" ht="9.75" customHeight="1" s="350"/>
    <row r="20" ht="25.5" customHeight="1" s="350">
      <c r="A20" s="696" t="inlineStr">
        <is>
          <t>🗓️  รอบที่ 2  —  วันที่ 5</t>
        </is>
      </c>
      <c r="B20" s="352" t="n"/>
      <c r="C20" s="352" t="n"/>
    </row>
    <row r="21" ht="19.5" customHeight="1" s="350">
      <c r="A21" s="513" t="inlineStr">
        <is>
          <t>รายการ</t>
        </is>
      </c>
      <c r="B21" s="513" t="inlineStr">
        <is>
          <t>จำนวน (บาท)</t>
        </is>
      </c>
      <c r="C21" s="513" t="inlineStr">
        <is>
          <t>หมายเหตุ</t>
        </is>
      </c>
    </row>
    <row r="22" ht="21.75" customHeight="1" s="350">
      <c r="A22" s="563" t="inlineStr">
        <is>
          <t xml:space="preserve">  💰 รายรับ (หลังหักกองทุน + ภาษี)</t>
        </is>
      </c>
      <c r="B22" s="665">
        <f>'รายรับ-รายจ่าย'!B10/2</f>
        <v/>
      </c>
      <c r="C22" s="694" t="inlineStr">
        <is>
          <t>เงินเดือนสุทธิ ÷ 2</t>
        </is>
      </c>
    </row>
    <row r="23" ht="21.75" customHeight="1" s="350">
      <c r="A23" s="697" t="inlineStr">
        <is>
          <t xml:space="preserve">  ค่ากินอยู่</t>
        </is>
      </c>
      <c r="B23" s="698">
        <f>'รายรับ-รายจ่าย'!B22/2</f>
        <v/>
      </c>
      <c r="C23" s="699" t="inlineStr">
        <is>
          <t>12,000 ÷ 2</t>
        </is>
      </c>
    </row>
    <row r="24" ht="21.75" customHeight="1" s="350">
      <c r="A24" s="697" t="inlineStr">
        <is>
          <t xml:space="preserve">  ค่าประกัน</t>
        </is>
      </c>
      <c r="B24" s="698">
        <f>'รายรับ-รายจ่าย'!B16</f>
        <v/>
      </c>
      <c r="C24" s="699" t="n"/>
    </row>
    <row r="25" ht="21.75" customHeight="1" s="350">
      <c r="A25" s="697" t="inlineStr">
        <is>
          <t xml:space="preserve">  ลงทุนหุ้น</t>
        </is>
      </c>
      <c r="B25" s="698">
        <f>'รายรับ-รายจ่าย'!B28</f>
        <v/>
      </c>
      <c r="C25" s="699" t="n"/>
    </row>
    <row r="26" ht="21.75" customHeight="1" s="350">
      <c r="A26" s="697" t="inlineStr">
        <is>
          <t xml:space="preserve">  เก็บกับต่อมา</t>
        </is>
      </c>
      <c r="B26" s="698">
        <f>'รายรับ-รายจ่าย'!B29/2</f>
        <v/>
      </c>
      <c r="C26" s="699" t="inlineStr">
        <is>
          <t>5,000 ÷ 2</t>
        </is>
      </c>
    </row>
    <row r="27" ht="21.75" customHeight="1" s="350">
      <c r="A27" s="697" t="inlineStr">
        <is>
          <t xml:space="preserve">  Claude Pro</t>
        </is>
      </c>
      <c r="B27" s="698">
        <f>'รายรับ-รายจ่าย'!B23</f>
        <v/>
      </c>
      <c r="C27" s="699" t="inlineStr">
        <is>
          <t>$17/mo (รายปี)</t>
        </is>
      </c>
    </row>
    <row r="28" ht="24" customHeight="1" s="350">
      <c r="A28" s="520" t="inlineStr">
        <is>
          <t xml:space="preserve">  รวมรายจ่ายรอบที่ 2</t>
        </is>
      </c>
      <c r="B28" s="522">
        <f>B23+B24+B25+B26+B27</f>
        <v/>
      </c>
      <c r="C28" s="521" t="n"/>
    </row>
    <row r="29" ht="15" customHeight="1" s="350">
      <c r="A29" s="700" t="inlineStr">
        <is>
          <t xml:space="preserve">  ✅ คงเหลือหลังรอบที่ 2</t>
        </is>
      </c>
      <c r="B29" s="701">
        <f>B22-B28</f>
        <v/>
      </c>
      <c r="C29" s="702" t="n"/>
    </row>
  </sheetData>
  <mergeCells count="4">
    <mergeCell ref="A1:C1"/>
    <mergeCell ref="A4:C4"/>
    <mergeCell ref="A20:C20"/>
    <mergeCell ref="A2:C2"/>
  </mergeCells>
  <printOptions horizontalCentered="0" verticalCentered="0" headings="0" gridLines="0" gridLinesSet="1"/>
  <pageMargins left="0.75" right="0.75" top="1" bottom="1" header="0.511805555555556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&amp;L&amp;"Aptos,Regular"&amp;1 &amp;Kff0000 Public#_x000d_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2026-03-18T14:22:03Z</dcterms:created>
  <dcterms:modified xmlns:dcterms="http://purl.org/dc/terms/" xmlns:xsi="http://www.w3.org/2001/XMLSchema-instance" xsi:type="dcterms:W3CDTF">2026-03-22T06:15:22Z</dcterms:modified>
  <cp:revision>58</cp:revision>
</cp:coreProperties>
</file>

<file path=docProps/custom.xml><?xml version="1.0" encoding="utf-8"?>
<Properties xmlns="http://schemas.openxmlformats.org/officeDocument/2006/custom-properties">
  <property name="MSIP_Label_54f41258-efa2-4151-b8ce-d4a958afc7d8_ActionId" fmtid="{D5CDD505-2E9C-101B-9397-08002B2CF9AE}" pid="2">
    <vt:lpwstr xmlns:vt="http://schemas.openxmlformats.org/officeDocument/2006/docPropsVTypes">1ee29c9f-dca1-4326-9a07-b353b6b3938f</vt:lpwstr>
  </property>
  <property name="MSIP_Label_54f41258-efa2-4151-b8ce-d4a958afc7d8_ContentBits" fmtid="{D5CDD505-2E9C-101B-9397-08002B2CF9AE}" pid="3">
    <vt:lpwstr xmlns:vt="http://schemas.openxmlformats.org/officeDocument/2006/docPropsVTypes">1</vt:lpwstr>
  </property>
  <property name="MSIP_Label_54f41258-efa2-4151-b8ce-d4a958afc7d8_Enabled" fmtid="{D5CDD505-2E9C-101B-9397-08002B2CF9AE}" pid="4">
    <vt:lpwstr xmlns:vt="http://schemas.openxmlformats.org/officeDocument/2006/docPropsVTypes">true</vt:lpwstr>
  </property>
  <property name="MSIP_Label_54f41258-efa2-4151-b8ce-d4a958afc7d8_Method" fmtid="{D5CDD505-2E9C-101B-9397-08002B2CF9AE}" pid="5">
    <vt:lpwstr xmlns:vt="http://schemas.openxmlformats.org/officeDocument/2006/docPropsVTypes">Privileged</vt:lpwstr>
  </property>
  <property name="MSIP_Label_54f41258-efa2-4151-b8ce-d4a958afc7d8_Name" fmtid="{D5CDD505-2E9C-101B-9397-08002B2CF9AE}" pid="6">
    <vt:lpwstr xmlns:vt="http://schemas.openxmlformats.org/officeDocument/2006/docPropsVTypes">Public</vt:lpwstr>
  </property>
  <property name="MSIP_Label_54f41258-efa2-4151-b8ce-d4a958afc7d8_SetDate" fmtid="{D5CDD505-2E9C-101B-9397-08002B2CF9AE}" pid="7">
    <vt:lpwstr xmlns:vt="http://schemas.openxmlformats.org/officeDocument/2006/docPropsVTypes">2026-03-18T15:39:23Z</vt:lpwstr>
  </property>
  <property name="MSIP_Label_54f41258-efa2-4151-b8ce-d4a958afc7d8_SiteId" fmtid="{D5CDD505-2E9C-101B-9397-08002B2CF9AE}" pid="8">
    <vt:lpwstr xmlns:vt="http://schemas.openxmlformats.org/officeDocument/2006/docPropsVTypes">39e6d78f-340b-420d-b6f6-913eae066462</vt:lpwstr>
  </property>
  <property name="MSIP_Label_54f41258-efa2-4151-b8ce-d4a958afc7d8_Tag" fmtid="{D5CDD505-2E9C-101B-9397-08002B2CF9AE}" pid="9">
    <vt:lpwstr xmlns:vt="http://schemas.openxmlformats.org/officeDocument/2006/docPropsVTypes">50, 0, 1, 1</vt:lpwstr>
  </property>
</Properties>
</file>